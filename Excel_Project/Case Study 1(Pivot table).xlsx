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ubham\Data analyst\EXCEL\Project\"/>
    </mc:Choice>
  </mc:AlternateContent>
  <xr:revisionPtr revIDLastSave="0" documentId="13_ncr:1_{AABBC4D2-3070-46B5-B0B2-4593C90A7256}" xr6:coauthVersionLast="47" xr6:coauthVersionMax="47" xr10:uidLastSave="{00000000-0000-0000-0000-000000000000}"/>
  <bookViews>
    <workbookView xWindow="-108" yWindow="-108" windowWidth="23256" windowHeight="12456" activeTab="2" xr2:uid="{E7C35264-D588-4D65-84F5-F5F36FA2A0A5}"/>
  </bookViews>
  <sheets>
    <sheet name="sales" sheetId="2" r:id="rId1"/>
    <sheet name="Que" sheetId="1" r:id="rId2"/>
    <sheet name="ANS" sheetId="3" r:id="rId3"/>
  </sheets>
  <definedNames>
    <definedName name="ExternalData_1" localSheetId="0" hidden="1">sales!$A$1:$H$124</definedName>
  </definedNames>
  <calcPr calcId="191029"/>
  <pivotCaches>
    <pivotCache cacheId="2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526CE3-F922-456A-A6EB-1C7E9EF83997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<sst xmlns="http://schemas.openxmlformats.org/spreadsheetml/2006/main" count="818" uniqueCount="171">
  <si>
    <t>Sr. No.</t>
  </si>
  <si>
    <t>Product</t>
  </si>
  <si>
    <t>Region</t>
  </si>
  <si>
    <t>Names</t>
  </si>
  <si>
    <t>Units</t>
  </si>
  <si>
    <t>Sales</t>
  </si>
  <si>
    <t>COGS</t>
  </si>
  <si>
    <t>Price</t>
  </si>
  <si>
    <t>Laptops</t>
  </si>
  <si>
    <t>South</t>
  </si>
  <si>
    <t>Aditi</t>
  </si>
  <si>
    <t>Aishwarya</t>
  </si>
  <si>
    <t>Ananya</t>
  </si>
  <si>
    <t>Diya</t>
  </si>
  <si>
    <t>Kavya</t>
  </si>
  <si>
    <t>Electronics</t>
  </si>
  <si>
    <t>North</t>
  </si>
  <si>
    <t>Krish</t>
  </si>
  <si>
    <t>Pranav</t>
  </si>
  <si>
    <t>Rupa</t>
  </si>
  <si>
    <t>Kriti</t>
  </si>
  <si>
    <t>Furniture</t>
  </si>
  <si>
    <t>West</t>
  </si>
  <si>
    <t>Meera</t>
  </si>
  <si>
    <t>Priya</t>
  </si>
  <si>
    <t>Samir</t>
  </si>
  <si>
    <t>Asha</t>
  </si>
  <si>
    <t>Clothing</t>
  </si>
  <si>
    <t>East</t>
  </si>
  <si>
    <t>Nandini</t>
  </si>
  <si>
    <t>Ramesh</t>
  </si>
  <si>
    <t>Shreya</t>
  </si>
  <si>
    <t>Preeti</t>
  </si>
  <si>
    <t>Kitchenware</t>
  </si>
  <si>
    <t>Nisha</t>
  </si>
  <si>
    <t>Rohan</t>
  </si>
  <si>
    <t>Siddharth</t>
  </si>
  <si>
    <t>Rishi</t>
  </si>
  <si>
    <t>Home Decor</t>
  </si>
  <si>
    <t>Akanksha</t>
  </si>
  <si>
    <t>Anurag</t>
  </si>
  <si>
    <t>Kamal</t>
  </si>
  <si>
    <t>Appliances</t>
  </si>
  <si>
    <t>Harsh</t>
  </si>
  <si>
    <t>Alok</t>
  </si>
  <si>
    <t>Kanika</t>
  </si>
  <si>
    <t>Toys</t>
  </si>
  <si>
    <t>Varsha</t>
  </si>
  <si>
    <t>Naveen</t>
  </si>
  <si>
    <t>Shobha</t>
  </si>
  <si>
    <t>Books</t>
  </si>
  <si>
    <t>Sunil</t>
  </si>
  <si>
    <t>Meenakshi</t>
  </si>
  <si>
    <t>Rohit</t>
  </si>
  <si>
    <t>Vikas</t>
  </si>
  <si>
    <t>Sports</t>
  </si>
  <si>
    <t>Anjali</t>
  </si>
  <si>
    <t>Divya</t>
  </si>
  <si>
    <t>Raj</t>
  </si>
  <si>
    <t>Kirti</t>
  </si>
  <si>
    <t>Garden</t>
  </si>
  <si>
    <t>Rajesh</t>
  </si>
  <si>
    <t>Avinash</t>
  </si>
  <si>
    <t>Monika</t>
  </si>
  <si>
    <t>Satish</t>
  </si>
  <si>
    <t>Anita</t>
  </si>
  <si>
    <t>Rahul</t>
  </si>
  <si>
    <t>Sunitha</t>
  </si>
  <si>
    <t>Arti</t>
  </si>
  <si>
    <t>Praveen</t>
  </si>
  <si>
    <t>Sneha</t>
  </si>
  <si>
    <t>Rajat</t>
  </si>
  <si>
    <t>Anjana</t>
  </si>
  <si>
    <t>Manju</t>
  </si>
  <si>
    <t>Rohini</t>
  </si>
  <si>
    <t>Rajiv</t>
  </si>
  <si>
    <t>Arpita</t>
  </si>
  <si>
    <t>Vinay</t>
  </si>
  <si>
    <t>Neelam</t>
  </si>
  <si>
    <t>Vikram</t>
  </si>
  <si>
    <t>Komal</t>
  </si>
  <si>
    <t>Sonia</t>
  </si>
  <si>
    <t>Amit</t>
  </si>
  <si>
    <t>Abhishek</t>
  </si>
  <si>
    <t>Anupam</t>
  </si>
  <si>
    <t>Shweta</t>
  </si>
  <si>
    <t>Neha</t>
  </si>
  <si>
    <t>Sonali</t>
  </si>
  <si>
    <t>Kiran</t>
  </si>
  <si>
    <t>Sameer</t>
  </si>
  <si>
    <t>Shikha</t>
  </si>
  <si>
    <t>Ashok</t>
  </si>
  <si>
    <t>Mukesh</t>
  </si>
  <si>
    <t>Arvind</t>
  </si>
  <si>
    <t>Aditya</t>
  </si>
  <si>
    <t>Kamini</t>
  </si>
  <si>
    <t>Manish</t>
  </si>
  <si>
    <t>Sarika</t>
  </si>
  <si>
    <t>Kusum</t>
  </si>
  <si>
    <t>Ankit</t>
  </si>
  <si>
    <t>Vivek</t>
  </si>
  <si>
    <t>Sushil</t>
  </si>
  <si>
    <t>Q1-What is the total units sold across all regions?</t>
  </si>
  <si>
    <t>Q 2. What is the average sales for Appliances?</t>
  </si>
  <si>
    <t>3. Who had the highest cost of goods sold (COGS) in the dataset?</t>
  </si>
  <si>
    <t>4. What is the total sales for the Electronics category?</t>
  </si>
  <si>
    <t>5. How many different products are listed in the dataset?</t>
  </si>
  <si>
    <t>7. What is the average units sold per person for each product?</t>
  </si>
  <si>
    <t>8. What is the total sales for the Home Decor category in the South region?</t>
  </si>
  <si>
    <t xml:space="preserve">9. Who had the highest total sales?
</t>
  </si>
  <si>
    <t>10. What is the average COGS per unit for each product?</t>
  </si>
  <si>
    <t xml:space="preserve">Product wise Sales </t>
  </si>
  <si>
    <t>Total Sales by Region</t>
  </si>
  <si>
    <t xml:space="preserve">Total sales by sales representative </t>
  </si>
  <si>
    <t>Who sold max units</t>
  </si>
  <si>
    <t xml:space="preserve">in which region had max sale , min sale </t>
  </si>
  <si>
    <t xml:space="preserve">which product had max sale by unit </t>
  </si>
  <si>
    <t xml:space="preserve">Most exp product </t>
  </si>
  <si>
    <t xml:space="preserve">least exp product </t>
  </si>
  <si>
    <t>product and region wise max sales</t>
  </si>
  <si>
    <t xml:space="preserve">avg sales of prduct </t>
  </si>
  <si>
    <t>Region wise sales per product</t>
  </si>
  <si>
    <t>Who sales max in south</t>
  </si>
  <si>
    <t>Q1- What is total Sales</t>
  </si>
  <si>
    <t>Q2 - Region Wise Sales</t>
  </si>
  <si>
    <t xml:space="preserve">Q3- Total  Unit Sold </t>
  </si>
  <si>
    <t xml:space="preserve">Q4- List the Unique Products </t>
  </si>
  <si>
    <t>Q5- Total Unique Sales Repr</t>
  </si>
  <si>
    <t xml:space="preserve">Q14- total sales by product for each region </t>
  </si>
  <si>
    <t xml:space="preserve">Q6- Total Sales by Product </t>
  </si>
  <si>
    <t>Q7- Who had the max Sale</t>
  </si>
  <si>
    <t xml:space="preserve">Q8- Total Orders </t>
  </si>
  <si>
    <t>Q9- In south region which product had max sales</t>
  </si>
  <si>
    <t xml:space="preserve">Q10- Total Laptop Sold in South region </t>
  </si>
  <si>
    <t xml:space="preserve">Q11- Who had the max and min sales in South Region </t>
  </si>
  <si>
    <t xml:space="preserve">Q12- Which product sold max times in West Region </t>
  </si>
  <si>
    <t xml:space="preserve">Q13 - What is total sales made by rahul in east region </t>
  </si>
  <si>
    <t xml:space="preserve">Q15- Who had done max sales for home decore in east region </t>
  </si>
  <si>
    <t>Sum of Units</t>
  </si>
  <si>
    <t>Row Labels</t>
  </si>
  <si>
    <t>Grand Total</t>
  </si>
  <si>
    <t>Sum of Sales</t>
  </si>
  <si>
    <t>Average of Sales</t>
  </si>
  <si>
    <t>Max of COGS</t>
  </si>
  <si>
    <t>Count of Product</t>
  </si>
  <si>
    <t>6. What is the average units sold per person for each product?</t>
  </si>
  <si>
    <t>Average of Units</t>
  </si>
  <si>
    <t>7. What is the total sales for the Home Decor category in the South region?</t>
  </si>
  <si>
    <t>Max of Sales</t>
  </si>
  <si>
    <t>9. What is the average COGS per unit for each product?</t>
  </si>
  <si>
    <t>Average of COGS</t>
  </si>
  <si>
    <t>8. Who had the highest total sales?</t>
  </si>
  <si>
    <t xml:space="preserve">10.Product wise Sales </t>
  </si>
  <si>
    <t>11.Total Sales by Region</t>
  </si>
  <si>
    <t xml:space="preserve">12.Total sales by sales representative </t>
  </si>
  <si>
    <t>13.Who sold max units</t>
  </si>
  <si>
    <t xml:space="preserve">14.In which region had max sale , min sale </t>
  </si>
  <si>
    <t xml:space="preserve">15.which product had max sale by unit </t>
  </si>
  <si>
    <t xml:space="preserve">16.Most exp product </t>
  </si>
  <si>
    <t>Max of Price</t>
  </si>
  <si>
    <t xml:space="preserve">17.least exp product </t>
  </si>
  <si>
    <t>Min of Price</t>
  </si>
  <si>
    <t>Column Labels</t>
  </si>
  <si>
    <t>18.product and region wise max sales</t>
  </si>
  <si>
    <t xml:space="preserve">19.avg sales of prduct </t>
  </si>
  <si>
    <t>20.Region wise sales per product</t>
  </si>
  <si>
    <t>Max of Units</t>
  </si>
  <si>
    <t>Min of Sales</t>
  </si>
  <si>
    <t>21.Who sales max in south</t>
  </si>
  <si>
    <t>Count of Units</t>
  </si>
  <si>
    <t>Count of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</si>
</sst>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7.460192245373" createdVersion="8" refreshedVersion="8" minRefreshableVersion="3" recordCount="123" xr:uid="{70105B39-ECF0-433A-889B-3C172F020A00}">
  <cacheSource type="worksheet">
    <worksheetSource name="sales"/>
  </cacheSource>
  <cacheFields count="8">
    <cacheField name="Sr. No." numFmtId="0">
      <sharedItems containsSemiMixedTypes="0" containsString="0" containsNumber="1" containsInteger="1" minValue="1" maxValue="123" count="1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</sharedItems>
    </cacheField>
    <cacheField name="Product" numFmtId="0">
      <sharedItems count="11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</sharedItems>
    </cacheField>
    <cacheField name="Region" numFmtId="0">
      <sharedItems count="4">
        <s v="South"/>
        <s v="North"/>
        <s v="West"/>
        <s v="East"/>
      </sharedItems>
    </cacheField>
    <cacheField name="Names" numFmtId="0">
      <sharedItems count="79">
        <s v="Aditi"/>
        <s v="Aishwarya"/>
        <s v="Ananya"/>
        <s v="Diya"/>
        <s v="Kavya"/>
        <s v="Krish"/>
        <s v="Pranav"/>
        <s v="Rupa"/>
        <s v="Kriti"/>
        <s v="Meera"/>
        <s v="Priya"/>
        <s v="Samir"/>
        <s v="Asha"/>
        <s v="Nandini"/>
        <s v="Ramesh"/>
        <s v="Shreya"/>
        <s v="Preeti"/>
        <s v="Nisha"/>
        <s v="Rohan"/>
        <s v="Siddharth"/>
        <s v="Rishi"/>
        <s v="Akanksha"/>
        <s v="Anurag"/>
        <s v="Kamal"/>
        <s v="Harsh"/>
        <s v="Alok"/>
        <s v="Kanika"/>
        <s v="Varsha"/>
        <s v="Naveen"/>
        <s v="Shobha"/>
        <s v="Sunil"/>
        <s v="Meenakshi"/>
        <s v="Rohit"/>
        <s v="Vikas"/>
        <s v="Anjali"/>
        <s v="Divya"/>
        <s v="Raj"/>
        <s v="Kirti"/>
        <s v="Rajesh"/>
        <s v="Avinash"/>
        <s v="Monika"/>
        <s v="Satish"/>
        <s v="Anita"/>
        <s v="Rahul"/>
        <s v="Sunitha"/>
        <s v="Arti"/>
        <s v="Praveen"/>
        <s v="Sneha"/>
        <s v="Rajat"/>
        <s v="Anjana"/>
        <s v="Manju"/>
        <s v="Rohini"/>
        <s v="Rajiv"/>
        <s v="Arpita"/>
        <s v="Vinay"/>
        <s v="Neelam"/>
        <s v="Vikram"/>
        <s v="Komal"/>
        <s v="Sonia"/>
        <s v="Amit"/>
        <s v="Abhishek"/>
        <s v="Anupam"/>
        <s v="Shweta"/>
        <s v="Neha"/>
        <s v="Sonali"/>
        <s v="Kiran"/>
        <s v="Sameer"/>
        <s v="Shikha"/>
        <s v="Ashok"/>
        <s v="Mukesh"/>
        <s v="Arvind"/>
        <s v="Aditya"/>
        <s v="Kamini"/>
        <s v="Manish"/>
        <s v="Sarika"/>
        <s v="Kusum"/>
        <s v="Ankit"/>
        <s v="Vivek"/>
        <s v="Sushil"/>
      </sharedItems>
    </cacheField>
    <cacheField name="Units" numFmtId="0">
      <sharedItems containsSemiMixedTypes="0" containsString="0" containsNumber="1" containsInteger="1" minValue="7" maxValue="28" count="20">
        <n v="15"/>
        <n v="20"/>
        <n v="18"/>
        <n v="14"/>
        <n v="16"/>
        <n v="22"/>
        <n v="19"/>
        <n v="12"/>
        <n v="9"/>
        <n v="11"/>
        <n v="26"/>
        <n v="28"/>
        <n v="21"/>
        <n v="17"/>
        <n v="8"/>
        <n v="23"/>
        <n v="13"/>
        <n v="10"/>
        <n v="7"/>
        <n v="25"/>
      </sharedItems>
    </cacheField>
    <cacheField name="Sales" numFmtId="0">
      <sharedItems containsSemiMixedTypes="0" containsString="0" containsNumber="1" containsInteger="1" minValue="123" maxValue="999" count="89">
        <n v="523"/>
        <n v="792"/>
        <n v="654"/>
        <n v="345"/>
        <n v="678"/>
        <n v="123"/>
        <n v="489"/>
        <n v="354"/>
        <n v="195"/>
        <n v="274"/>
        <n v="837"/>
        <n v="911"/>
        <n v="653"/>
        <n v="789"/>
        <n v="125"/>
        <n v="367"/>
        <n v="524"/>
        <n v="213"/>
        <n v="312"/>
        <n v="456"/>
        <n v="224"/>
        <n v="334"/>
        <n v="135"/>
        <n v="689"/>
        <n v="432"/>
        <n v="287"/>
        <n v="176"/>
        <n v="555"/>
        <n v="798"/>
        <n v="265"/>
        <n v="976"/>
        <n v="211"/>
        <n v="256"/>
        <n v="879"/>
        <n v="765"/>
        <n v="599"/>
        <n v="322"/>
        <n v="499"/>
        <n v="192"/>
        <n v="321"/>
        <n v="541"/>
        <n v="187"/>
        <n v="786"/>
        <n v="655"/>
        <n v="989"/>
        <n v="722"/>
        <n v="864"/>
        <n v="999"/>
        <n v="762"/>
        <n v="127"/>
        <n v="164"/>
        <n v="646"/>
        <n v="294"/>
        <n v="223"/>
        <n v="785"/>
        <n v="777"/>
        <n v="144"/>
        <n v="699"/>
        <n v="665"/>
        <n v="233"/>
        <n v="356"/>
        <n v="715"/>
        <n v="988"/>
        <n v="712"/>
        <n v="199"/>
        <n v="478"/>
        <n v="186"/>
        <n v="761"/>
        <n v="288"/>
        <n v="355"/>
        <n v="723"/>
        <n v="467"/>
        <n v="366"/>
        <n v="267"/>
        <n v="326"/>
        <n v="633"/>
        <n v="147"/>
        <n v="342"/>
        <n v="453"/>
        <n v="238"/>
        <n v="468"/>
        <n v="799"/>
        <n v="156"/>
        <n v="239"/>
        <n v="745"/>
        <n v="194"/>
        <n v="219"/>
        <n v="333"/>
        <n v="225"/>
      </sharedItems>
    </cacheField>
    <cacheField name="COGS" numFmtId="0">
      <sharedItems containsSemiMixedTypes="0" containsString="0" containsNumber="1" containsInteger="1" minValue="75" maxValue="610"/>
    </cacheField>
    <cacheField name="Price" numFmtId="0">
      <sharedItems containsSemiMixedTypes="0" containsString="0" containsNumber="1" minValue="5.5909000000000004" maxValue="56.5" count="98">
        <n v="34.866700000000002"/>
        <n v="39.6"/>
        <n v="36.333300000000001"/>
        <n v="24.642900000000001"/>
        <n v="42.375"/>
        <n v="5.5909000000000004"/>
        <n v="25.736799999999999"/>
        <n v="29.5"/>
        <n v="21.666699999999999"/>
        <n v="24.909099999999999"/>
        <n v="32.192300000000003"/>
        <n v="32.535699999999999"/>
        <n v="31.095199999999998"/>
        <n v="46.411799999999999"/>
        <n v="15.625"/>
        <n v="26.214300000000001"/>
        <n v="22.782599999999999"/>
        <n v="16.384599999999999"/>
        <n v="52.6"/>
        <n v="14.857100000000001"/>
        <n v="24"/>
        <n v="22.4"/>
        <n v="30.363600000000002"/>
        <n v="19.285699999999999"/>
        <n v="45.933300000000003"/>
        <n v="17.28"/>
        <n v="26.090900000000001"/>
        <n v="22"/>
        <n v="42.692300000000003"/>
        <n v="28.8"/>
        <n v="39.9"/>
        <n v="17.666699999999999"/>
        <n v="34.857100000000003"/>
        <n v="21.1"/>
        <n v="21.333300000000001"/>
        <n v="39.954500000000003"/>
        <n v="40.263199999999998"/>
        <n v="35.235300000000002"/>
        <n v="25.333300000000001"/>
        <n v="13.666700000000001"/>
        <n v="17.75"/>
        <n v="26.833300000000001"/>
        <n v="27.722200000000001"/>
        <n v="56.5"/>
        <n v="26.75"/>
        <n v="51"/>
        <n v="38.642899999999997"/>
        <n v="20.777799999999999"/>
        <n v="52.4"/>
        <n v="46.785699999999999"/>
        <n v="49.45"/>
        <n v="45.125"/>
        <n v="50.823500000000003"/>
        <n v="49.95"/>
        <n v="50.8"/>
        <n v="14.1111"/>
        <n v="20.5"/>
        <n v="46.142899999999997"/>
        <n v="26.7273"/>
        <n v="22.3"/>
        <n v="52.333300000000001"/>
        <n v="48.5625"/>
        <n v="16"/>
        <n v="38.833300000000001"/>
        <n v="47.5"/>
        <n v="23.3"/>
        <n v="32.363599999999998"/>
        <n v="44.6875"/>
        <n v="43.166699999999999"/>
        <n v="49.4"/>
        <n v="44.5"/>
        <n v="53.2"/>
        <n v="19.899999999999999"/>
        <n v="39.833300000000001"/>
        <n v="20.666699999999999"/>
        <n v="50.7333"/>
        <n v="32.2727"/>
        <n v="45.1875"/>
        <n v="24.578900000000001"/>
        <n v="33.2727"/>
        <n v="26.7"/>
        <n v="27.166699999999999"/>
        <n v="30.142900000000001"/>
        <n v="33.230800000000002"/>
        <n v="16.333300000000001"/>
        <n v="28.5"/>
        <n v="34.846200000000003"/>
        <n v="23.8"/>
        <n v="24.631599999999999"/>
        <n v="47"/>
        <n v="19.5"/>
        <n v="23.9"/>
        <n v="46.5625"/>
        <n v="21.555599999999998"/>
        <n v="21.9"/>
        <n v="45"/>
        <n v="27.75"/>
        <n v="22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x v="0"/>
    <x v="0"/>
    <x v="0"/>
    <x v="0"/>
    <x v="0"/>
    <x v="0"/>
    <n v="321"/>
    <x v="0"/>
  </r>
  <r>
    <x v="1"/>
    <x v="0"/>
    <x v="0"/>
    <x v="1"/>
    <x v="1"/>
    <x v="1"/>
    <n v="456"/>
    <x v="1"/>
  </r>
  <r>
    <x v="2"/>
    <x v="0"/>
    <x v="0"/>
    <x v="2"/>
    <x v="2"/>
    <x v="2"/>
    <n v="398"/>
    <x v="2"/>
  </r>
  <r>
    <x v="3"/>
    <x v="0"/>
    <x v="0"/>
    <x v="3"/>
    <x v="3"/>
    <x v="3"/>
    <n v="210"/>
    <x v="3"/>
  </r>
  <r>
    <x v="4"/>
    <x v="0"/>
    <x v="0"/>
    <x v="4"/>
    <x v="4"/>
    <x v="4"/>
    <n v="412"/>
    <x v="4"/>
  </r>
  <r>
    <x v="5"/>
    <x v="1"/>
    <x v="1"/>
    <x v="5"/>
    <x v="5"/>
    <x v="5"/>
    <n v="78"/>
    <x v="5"/>
  </r>
  <r>
    <x v="6"/>
    <x v="1"/>
    <x v="1"/>
    <x v="6"/>
    <x v="6"/>
    <x v="6"/>
    <n v="286"/>
    <x v="6"/>
  </r>
  <r>
    <x v="7"/>
    <x v="1"/>
    <x v="1"/>
    <x v="7"/>
    <x v="7"/>
    <x v="7"/>
    <n v="215"/>
    <x v="7"/>
  </r>
  <r>
    <x v="8"/>
    <x v="1"/>
    <x v="1"/>
    <x v="8"/>
    <x v="8"/>
    <x v="8"/>
    <n v="114"/>
    <x v="8"/>
  </r>
  <r>
    <x v="9"/>
    <x v="2"/>
    <x v="2"/>
    <x v="9"/>
    <x v="9"/>
    <x v="9"/>
    <n v="167"/>
    <x v="9"/>
  </r>
  <r>
    <x v="10"/>
    <x v="2"/>
    <x v="2"/>
    <x v="10"/>
    <x v="10"/>
    <x v="10"/>
    <n v="512"/>
    <x v="10"/>
  </r>
  <r>
    <x v="11"/>
    <x v="2"/>
    <x v="2"/>
    <x v="11"/>
    <x v="11"/>
    <x v="11"/>
    <n v="556"/>
    <x v="11"/>
  </r>
  <r>
    <x v="12"/>
    <x v="2"/>
    <x v="2"/>
    <x v="12"/>
    <x v="12"/>
    <x v="12"/>
    <n v="398"/>
    <x v="12"/>
  </r>
  <r>
    <x v="13"/>
    <x v="3"/>
    <x v="3"/>
    <x v="13"/>
    <x v="13"/>
    <x v="13"/>
    <n v="458"/>
    <x v="13"/>
  </r>
  <r>
    <x v="14"/>
    <x v="3"/>
    <x v="3"/>
    <x v="14"/>
    <x v="14"/>
    <x v="14"/>
    <n v="76"/>
    <x v="14"/>
  </r>
  <r>
    <x v="15"/>
    <x v="3"/>
    <x v="3"/>
    <x v="15"/>
    <x v="3"/>
    <x v="15"/>
    <n v="224"/>
    <x v="15"/>
  </r>
  <r>
    <x v="16"/>
    <x v="3"/>
    <x v="3"/>
    <x v="16"/>
    <x v="15"/>
    <x v="16"/>
    <n v="319"/>
    <x v="16"/>
  </r>
  <r>
    <x v="17"/>
    <x v="4"/>
    <x v="0"/>
    <x v="17"/>
    <x v="16"/>
    <x v="17"/>
    <n v="130"/>
    <x v="17"/>
  </r>
  <r>
    <x v="18"/>
    <x v="4"/>
    <x v="0"/>
    <x v="18"/>
    <x v="0"/>
    <x v="13"/>
    <n v="458"/>
    <x v="18"/>
  </r>
  <r>
    <x v="19"/>
    <x v="4"/>
    <x v="0"/>
    <x v="19"/>
    <x v="12"/>
    <x v="18"/>
    <n v="190"/>
    <x v="19"/>
  </r>
  <r>
    <x v="20"/>
    <x v="4"/>
    <x v="1"/>
    <x v="20"/>
    <x v="6"/>
    <x v="19"/>
    <n v="279"/>
    <x v="20"/>
  </r>
  <r>
    <x v="21"/>
    <x v="5"/>
    <x v="1"/>
    <x v="21"/>
    <x v="17"/>
    <x v="20"/>
    <n v="137"/>
    <x v="21"/>
  </r>
  <r>
    <x v="22"/>
    <x v="5"/>
    <x v="3"/>
    <x v="22"/>
    <x v="9"/>
    <x v="21"/>
    <n v="204"/>
    <x v="22"/>
  </r>
  <r>
    <x v="23"/>
    <x v="5"/>
    <x v="3"/>
    <x v="23"/>
    <x v="18"/>
    <x v="22"/>
    <n v="83"/>
    <x v="23"/>
  </r>
  <r>
    <x v="24"/>
    <x v="6"/>
    <x v="2"/>
    <x v="24"/>
    <x v="0"/>
    <x v="23"/>
    <n v="421"/>
    <x v="24"/>
  </r>
  <r>
    <x v="25"/>
    <x v="6"/>
    <x v="2"/>
    <x v="25"/>
    <x v="19"/>
    <x v="24"/>
    <n v="263"/>
    <x v="25"/>
  </r>
  <r>
    <x v="26"/>
    <x v="6"/>
    <x v="2"/>
    <x v="26"/>
    <x v="9"/>
    <x v="25"/>
    <n v="175"/>
    <x v="26"/>
  </r>
  <r>
    <x v="27"/>
    <x v="7"/>
    <x v="3"/>
    <x v="27"/>
    <x v="14"/>
    <x v="26"/>
    <n v="107"/>
    <x v="27"/>
  </r>
  <r>
    <x v="28"/>
    <x v="7"/>
    <x v="2"/>
    <x v="28"/>
    <x v="16"/>
    <x v="27"/>
    <n v="339"/>
    <x v="28"/>
  </r>
  <r>
    <x v="29"/>
    <x v="7"/>
    <x v="2"/>
    <x v="29"/>
    <x v="0"/>
    <x v="24"/>
    <n v="263"/>
    <x v="29"/>
  </r>
  <r>
    <x v="30"/>
    <x v="8"/>
    <x v="0"/>
    <x v="30"/>
    <x v="1"/>
    <x v="28"/>
    <n v="487"/>
    <x v="30"/>
  </r>
  <r>
    <x v="31"/>
    <x v="8"/>
    <x v="0"/>
    <x v="31"/>
    <x v="0"/>
    <x v="29"/>
    <n v="162"/>
    <x v="31"/>
  </r>
  <r>
    <x v="32"/>
    <x v="8"/>
    <x v="0"/>
    <x v="32"/>
    <x v="11"/>
    <x v="30"/>
    <n v="594"/>
    <x v="32"/>
  </r>
  <r>
    <x v="33"/>
    <x v="8"/>
    <x v="0"/>
    <x v="33"/>
    <x v="17"/>
    <x v="31"/>
    <n v="129"/>
    <x v="33"/>
  </r>
  <r>
    <x v="34"/>
    <x v="9"/>
    <x v="3"/>
    <x v="34"/>
    <x v="7"/>
    <x v="32"/>
    <n v="156"/>
    <x v="34"/>
  </r>
  <r>
    <x v="35"/>
    <x v="9"/>
    <x v="2"/>
    <x v="35"/>
    <x v="5"/>
    <x v="33"/>
    <n v="535"/>
    <x v="35"/>
  </r>
  <r>
    <x v="36"/>
    <x v="9"/>
    <x v="3"/>
    <x v="36"/>
    <x v="6"/>
    <x v="34"/>
    <n v="468"/>
    <x v="36"/>
  </r>
  <r>
    <x v="37"/>
    <x v="9"/>
    <x v="2"/>
    <x v="37"/>
    <x v="13"/>
    <x v="35"/>
    <n v="365"/>
    <x v="37"/>
  </r>
  <r>
    <x v="38"/>
    <x v="10"/>
    <x v="1"/>
    <x v="38"/>
    <x v="2"/>
    <x v="19"/>
    <n v="279"/>
    <x v="38"/>
  </r>
  <r>
    <x v="39"/>
    <x v="10"/>
    <x v="3"/>
    <x v="39"/>
    <x v="8"/>
    <x v="5"/>
    <n v="75"/>
    <x v="39"/>
  </r>
  <r>
    <x v="40"/>
    <x v="10"/>
    <x v="1"/>
    <x v="40"/>
    <x v="7"/>
    <x v="17"/>
    <n v="130"/>
    <x v="40"/>
  </r>
  <r>
    <x v="41"/>
    <x v="10"/>
    <x v="3"/>
    <x v="41"/>
    <x v="7"/>
    <x v="36"/>
    <n v="197"/>
    <x v="41"/>
  </r>
  <r>
    <x v="42"/>
    <x v="10"/>
    <x v="1"/>
    <x v="38"/>
    <x v="2"/>
    <x v="37"/>
    <n v="305"/>
    <x v="42"/>
  </r>
  <r>
    <x v="43"/>
    <x v="10"/>
    <x v="3"/>
    <x v="39"/>
    <x v="8"/>
    <x v="38"/>
    <n v="117"/>
    <x v="34"/>
  </r>
  <r>
    <x v="44"/>
    <x v="10"/>
    <x v="1"/>
    <x v="40"/>
    <x v="7"/>
    <x v="4"/>
    <n v="413"/>
    <x v="43"/>
  </r>
  <r>
    <x v="45"/>
    <x v="10"/>
    <x v="3"/>
    <x v="41"/>
    <x v="7"/>
    <x v="39"/>
    <n v="196"/>
    <x v="44"/>
  </r>
  <r>
    <x v="46"/>
    <x v="1"/>
    <x v="2"/>
    <x v="42"/>
    <x v="0"/>
    <x v="34"/>
    <n v="466"/>
    <x v="45"/>
  </r>
  <r>
    <x v="47"/>
    <x v="1"/>
    <x v="0"/>
    <x v="43"/>
    <x v="3"/>
    <x v="40"/>
    <n v="331"/>
    <x v="46"/>
  </r>
  <r>
    <x v="48"/>
    <x v="1"/>
    <x v="3"/>
    <x v="44"/>
    <x v="8"/>
    <x v="41"/>
    <n v="114"/>
    <x v="47"/>
  </r>
  <r>
    <x v="49"/>
    <x v="1"/>
    <x v="2"/>
    <x v="45"/>
    <x v="0"/>
    <x v="42"/>
    <n v="479"/>
    <x v="48"/>
  </r>
  <r>
    <x v="50"/>
    <x v="2"/>
    <x v="0"/>
    <x v="43"/>
    <x v="3"/>
    <x v="43"/>
    <n v="399"/>
    <x v="49"/>
  </r>
  <r>
    <x v="51"/>
    <x v="2"/>
    <x v="3"/>
    <x v="2"/>
    <x v="1"/>
    <x v="44"/>
    <n v="603"/>
    <x v="50"/>
  </r>
  <r>
    <x v="52"/>
    <x v="2"/>
    <x v="2"/>
    <x v="46"/>
    <x v="4"/>
    <x v="45"/>
    <n v="441"/>
    <x v="51"/>
  </r>
  <r>
    <x v="53"/>
    <x v="2"/>
    <x v="1"/>
    <x v="47"/>
    <x v="13"/>
    <x v="46"/>
    <n v="527"/>
    <x v="52"/>
  </r>
  <r>
    <x v="54"/>
    <x v="3"/>
    <x v="2"/>
    <x v="48"/>
    <x v="1"/>
    <x v="47"/>
    <n v="610"/>
    <x v="53"/>
  </r>
  <r>
    <x v="55"/>
    <x v="3"/>
    <x v="3"/>
    <x v="26"/>
    <x v="0"/>
    <x v="48"/>
    <n v="465"/>
    <x v="54"/>
  </r>
  <r>
    <x v="56"/>
    <x v="3"/>
    <x v="0"/>
    <x v="49"/>
    <x v="8"/>
    <x v="49"/>
    <n v="78"/>
    <x v="55"/>
  </r>
  <r>
    <x v="57"/>
    <x v="3"/>
    <x v="2"/>
    <x v="31"/>
    <x v="14"/>
    <x v="50"/>
    <n v="100"/>
    <x v="56"/>
  </r>
  <r>
    <x v="58"/>
    <x v="4"/>
    <x v="3"/>
    <x v="50"/>
    <x v="3"/>
    <x v="51"/>
    <n v="394"/>
    <x v="57"/>
  </r>
  <r>
    <x v="59"/>
    <x v="4"/>
    <x v="1"/>
    <x v="51"/>
    <x v="9"/>
    <x v="52"/>
    <n v="179"/>
    <x v="58"/>
  </r>
  <r>
    <x v="60"/>
    <x v="4"/>
    <x v="2"/>
    <x v="35"/>
    <x v="17"/>
    <x v="53"/>
    <n v="136"/>
    <x v="59"/>
  </r>
  <r>
    <x v="61"/>
    <x v="4"/>
    <x v="3"/>
    <x v="34"/>
    <x v="0"/>
    <x v="54"/>
    <n v="480"/>
    <x v="60"/>
  </r>
  <r>
    <x v="62"/>
    <x v="5"/>
    <x v="1"/>
    <x v="52"/>
    <x v="4"/>
    <x v="55"/>
    <n v="475"/>
    <x v="61"/>
  </r>
  <r>
    <x v="63"/>
    <x v="5"/>
    <x v="3"/>
    <x v="53"/>
    <x v="8"/>
    <x v="56"/>
    <n v="88"/>
    <x v="62"/>
  </r>
  <r>
    <x v="64"/>
    <x v="5"/>
    <x v="0"/>
    <x v="46"/>
    <x v="2"/>
    <x v="57"/>
    <n v="426"/>
    <x v="63"/>
  </r>
  <r>
    <x v="65"/>
    <x v="5"/>
    <x v="3"/>
    <x v="54"/>
    <x v="3"/>
    <x v="58"/>
    <n v="406"/>
    <x v="64"/>
  </r>
  <r>
    <x v="66"/>
    <x v="6"/>
    <x v="2"/>
    <x v="55"/>
    <x v="17"/>
    <x v="59"/>
    <n v="142"/>
    <x v="65"/>
  </r>
  <r>
    <x v="67"/>
    <x v="6"/>
    <x v="1"/>
    <x v="56"/>
    <x v="9"/>
    <x v="60"/>
    <n v="217"/>
    <x v="66"/>
  </r>
  <r>
    <x v="68"/>
    <x v="6"/>
    <x v="0"/>
    <x v="57"/>
    <x v="4"/>
    <x v="61"/>
    <n v="436"/>
    <x v="67"/>
  </r>
  <r>
    <x v="69"/>
    <x v="6"/>
    <x v="3"/>
    <x v="58"/>
    <x v="2"/>
    <x v="55"/>
    <n v="475"/>
    <x v="68"/>
  </r>
  <r>
    <x v="70"/>
    <x v="8"/>
    <x v="0"/>
    <x v="59"/>
    <x v="1"/>
    <x v="62"/>
    <n v="602"/>
    <x v="69"/>
  </r>
  <r>
    <x v="71"/>
    <x v="8"/>
    <x v="2"/>
    <x v="60"/>
    <x v="4"/>
    <x v="63"/>
    <n v="434"/>
    <x v="70"/>
  </r>
  <r>
    <x v="72"/>
    <x v="8"/>
    <x v="3"/>
    <x v="61"/>
    <x v="0"/>
    <x v="28"/>
    <n v="487"/>
    <x v="71"/>
  </r>
  <r>
    <x v="73"/>
    <x v="8"/>
    <x v="1"/>
    <x v="23"/>
    <x v="17"/>
    <x v="64"/>
    <n v="121"/>
    <x v="72"/>
  </r>
  <r>
    <x v="74"/>
    <x v="7"/>
    <x v="2"/>
    <x v="62"/>
    <x v="7"/>
    <x v="65"/>
    <n v="292"/>
    <x v="73"/>
  </r>
  <r>
    <x v="75"/>
    <x v="7"/>
    <x v="0"/>
    <x v="63"/>
    <x v="8"/>
    <x v="66"/>
    <n v="113"/>
    <x v="74"/>
  </r>
  <r>
    <x v="76"/>
    <x v="7"/>
    <x v="3"/>
    <x v="64"/>
    <x v="0"/>
    <x v="67"/>
    <n v="464"/>
    <x v="75"/>
  </r>
  <r>
    <x v="77"/>
    <x v="7"/>
    <x v="1"/>
    <x v="43"/>
    <x v="17"/>
    <x v="68"/>
    <n v="176"/>
    <x v="29"/>
  </r>
  <r>
    <x v="78"/>
    <x v="9"/>
    <x v="3"/>
    <x v="65"/>
    <x v="2"/>
    <x v="57"/>
    <n v="426"/>
    <x v="63"/>
  </r>
  <r>
    <x v="79"/>
    <x v="9"/>
    <x v="2"/>
    <x v="66"/>
    <x v="4"/>
    <x v="55"/>
    <n v="475"/>
    <x v="61"/>
  </r>
  <r>
    <x v="80"/>
    <x v="9"/>
    <x v="0"/>
    <x v="14"/>
    <x v="9"/>
    <x v="69"/>
    <n v="217"/>
    <x v="76"/>
  </r>
  <r>
    <x v="81"/>
    <x v="9"/>
    <x v="3"/>
    <x v="67"/>
    <x v="17"/>
    <x v="59"/>
    <n v="142"/>
    <x v="65"/>
  </r>
  <r>
    <x v="82"/>
    <x v="9"/>
    <x v="2"/>
    <x v="68"/>
    <x v="4"/>
    <x v="70"/>
    <n v="441"/>
    <x v="77"/>
  </r>
  <r>
    <x v="83"/>
    <x v="10"/>
    <x v="3"/>
    <x v="69"/>
    <x v="6"/>
    <x v="71"/>
    <n v="285"/>
    <x v="78"/>
  </r>
  <r>
    <x v="84"/>
    <x v="1"/>
    <x v="1"/>
    <x v="70"/>
    <x v="9"/>
    <x v="72"/>
    <n v="223"/>
    <x v="79"/>
  </r>
  <r>
    <x v="85"/>
    <x v="2"/>
    <x v="0"/>
    <x v="63"/>
    <x v="17"/>
    <x v="73"/>
    <n v="163"/>
    <x v="80"/>
  </r>
  <r>
    <x v="86"/>
    <x v="3"/>
    <x v="2"/>
    <x v="71"/>
    <x v="0"/>
    <x v="13"/>
    <n v="480"/>
    <x v="18"/>
  </r>
  <r>
    <x v="87"/>
    <x v="8"/>
    <x v="3"/>
    <x v="39"/>
    <x v="3"/>
    <x v="43"/>
    <n v="399"/>
    <x v="49"/>
  </r>
  <r>
    <x v="88"/>
    <x v="5"/>
    <x v="2"/>
    <x v="34"/>
    <x v="17"/>
    <x v="53"/>
    <n v="136"/>
    <x v="59"/>
  </r>
  <r>
    <x v="89"/>
    <x v="4"/>
    <x v="1"/>
    <x v="72"/>
    <x v="8"/>
    <x v="38"/>
    <n v="117"/>
    <x v="34"/>
  </r>
  <r>
    <x v="90"/>
    <x v="6"/>
    <x v="0"/>
    <x v="73"/>
    <x v="7"/>
    <x v="74"/>
    <n v="199"/>
    <x v="81"/>
  </r>
  <r>
    <x v="91"/>
    <x v="7"/>
    <x v="3"/>
    <x v="47"/>
    <x v="2"/>
    <x v="37"/>
    <n v="305"/>
    <x v="42"/>
  </r>
  <r>
    <x v="92"/>
    <x v="9"/>
    <x v="2"/>
    <x v="30"/>
    <x v="12"/>
    <x v="75"/>
    <n v="385"/>
    <x v="82"/>
  </r>
  <r>
    <x v="93"/>
    <x v="10"/>
    <x v="3"/>
    <x v="74"/>
    <x v="16"/>
    <x v="24"/>
    <n v="263"/>
    <x v="83"/>
  </r>
  <r>
    <x v="94"/>
    <x v="1"/>
    <x v="2"/>
    <x v="75"/>
    <x v="3"/>
    <x v="43"/>
    <n v="399"/>
    <x v="49"/>
  </r>
  <r>
    <x v="95"/>
    <x v="2"/>
    <x v="0"/>
    <x v="76"/>
    <x v="0"/>
    <x v="54"/>
    <n v="480"/>
    <x v="60"/>
  </r>
  <r>
    <x v="96"/>
    <x v="3"/>
    <x v="3"/>
    <x v="0"/>
    <x v="8"/>
    <x v="76"/>
    <n v="90"/>
    <x v="84"/>
  </r>
  <r>
    <x v="97"/>
    <x v="8"/>
    <x v="0"/>
    <x v="77"/>
    <x v="13"/>
    <x v="46"/>
    <n v="527"/>
    <x v="52"/>
  </r>
  <r>
    <x v="98"/>
    <x v="5"/>
    <x v="3"/>
    <x v="48"/>
    <x v="1"/>
    <x v="47"/>
    <n v="610"/>
    <x v="53"/>
  </r>
  <r>
    <x v="99"/>
    <x v="4"/>
    <x v="1"/>
    <x v="22"/>
    <x v="4"/>
    <x v="45"/>
    <n v="441"/>
    <x v="51"/>
  </r>
  <r>
    <x v="100"/>
    <x v="6"/>
    <x v="0"/>
    <x v="31"/>
    <x v="14"/>
    <x v="14"/>
    <n v="76"/>
    <x v="14"/>
  </r>
  <r>
    <x v="101"/>
    <x v="7"/>
    <x v="3"/>
    <x v="43"/>
    <x v="4"/>
    <x v="55"/>
    <n v="475"/>
    <x v="61"/>
  </r>
  <r>
    <x v="102"/>
    <x v="9"/>
    <x v="2"/>
    <x v="37"/>
    <x v="7"/>
    <x v="77"/>
    <n v="209"/>
    <x v="85"/>
  </r>
  <r>
    <x v="103"/>
    <x v="10"/>
    <x v="1"/>
    <x v="38"/>
    <x v="16"/>
    <x v="78"/>
    <n v="276"/>
    <x v="86"/>
  </r>
  <r>
    <x v="104"/>
    <x v="1"/>
    <x v="2"/>
    <x v="25"/>
    <x v="17"/>
    <x v="79"/>
    <n v="145"/>
    <x v="87"/>
  </r>
  <r>
    <x v="105"/>
    <x v="2"/>
    <x v="0"/>
    <x v="44"/>
    <x v="6"/>
    <x v="80"/>
    <n v="286"/>
    <x v="88"/>
  </r>
  <r>
    <x v="106"/>
    <x v="3"/>
    <x v="3"/>
    <x v="51"/>
    <x v="9"/>
    <x v="60"/>
    <n v="217"/>
    <x v="66"/>
  </r>
  <r>
    <x v="107"/>
    <x v="8"/>
    <x v="0"/>
    <x v="26"/>
    <x v="13"/>
    <x v="81"/>
    <n v="488"/>
    <x v="89"/>
  </r>
  <r>
    <x v="108"/>
    <x v="5"/>
    <x v="3"/>
    <x v="50"/>
    <x v="0"/>
    <x v="13"/>
    <n v="480"/>
    <x v="18"/>
  </r>
  <r>
    <x v="109"/>
    <x v="4"/>
    <x v="0"/>
    <x v="32"/>
    <x v="14"/>
    <x v="82"/>
    <n v="95"/>
    <x v="90"/>
  </r>
  <r>
    <x v="110"/>
    <x v="6"/>
    <x v="2"/>
    <x v="46"/>
    <x v="3"/>
    <x v="43"/>
    <n v="399"/>
    <x v="49"/>
  </r>
  <r>
    <x v="111"/>
    <x v="7"/>
    <x v="2"/>
    <x v="35"/>
    <x v="17"/>
    <x v="83"/>
    <n v="146"/>
    <x v="91"/>
  </r>
  <r>
    <x v="112"/>
    <x v="9"/>
    <x v="3"/>
    <x v="45"/>
    <x v="4"/>
    <x v="84"/>
    <n v="454"/>
    <x v="92"/>
  </r>
  <r>
    <x v="113"/>
    <x v="10"/>
    <x v="1"/>
    <x v="43"/>
    <x v="6"/>
    <x v="6"/>
    <n v="298"/>
    <x v="6"/>
  </r>
  <r>
    <x v="114"/>
    <x v="1"/>
    <x v="2"/>
    <x v="43"/>
    <x v="8"/>
    <x v="85"/>
    <n v="118"/>
    <x v="93"/>
  </r>
  <r>
    <x v="115"/>
    <x v="2"/>
    <x v="0"/>
    <x v="78"/>
    <x v="0"/>
    <x v="42"/>
    <n v="479"/>
    <x v="48"/>
  </r>
  <r>
    <x v="116"/>
    <x v="3"/>
    <x v="3"/>
    <x v="33"/>
    <x v="17"/>
    <x v="86"/>
    <n v="133"/>
    <x v="94"/>
  </r>
  <r>
    <x v="117"/>
    <x v="8"/>
    <x v="0"/>
    <x v="59"/>
    <x v="13"/>
    <x v="34"/>
    <n v="466"/>
    <x v="95"/>
  </r>
  <r>
    <x v="118"/>
    <x v="5"/>
    <x v="3"/>
    <x v="57"/>
    <x v="7"/>
    <x v="87"/>
    <n v="203"/>
    <x v="96"/>
  </r>
  <r>
    <x v="119"/>
    <x v="4"/>
    <x v="0"/>
    <x v="58"/>
    <x v="0"/>
    <x v="13"/>
    <n v="480"/>
    <x v="18"/>
  </r>
  <r>
    <x v="120"/>
    <x v="6"/>
    <x v="2"/>
    <x v="55"/>
    <x v="8"/>
    <x v="49"/>
    <n v="77"/>
    <x v="55"/>
  </r>
  <r>
    <x v="121"/>
    <x v="7"/>
    <x v="3"/>
    <x v="54"/>
    <x v="3"/>
    <x v="43"/>
    <n v="399"/>
    <x v="49"/>
  </r>
  <r>
    <x v="122"/>
    <x v="9"/>
    <x v="3"/>
    <x v="46"/>
    <x v="17"/>
    <x v="88"/>
    <n v="137"/>
    <x v="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6AE26-E0B8-4E7B-8F0B-7EFCD75163F8}" name="PivotTable5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61:D363" firstHeaderRow="1" firstDataRow="1" firstDataCol="1" rowPageCount="1" colPageCount="1"/>
  <pivotFields count="8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axis="axisRow" showAll="0" measureFilter="1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2">
    <i>
      <x v="50"/>
    </i>
    <i t="grand">
      <x/>
    </i>
  </rowItems>
  <colItems count="1">
    <i/>
  </colItems>
  <pageFields count="1">
    <pageField fld="2" item="0" hier="-1"/>
  </pageFields>
  <dataFields count="1">
    <dataField name="Max of Sales" fld="5" subtotal="max" baseField="3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0D772-2A61-4FA4-A846-19A6FDBF6B99}" name="PivotTable5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41:H354" firstHeaderRow="1" firstDataRow="2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E38E1-0C2F-454F-9332-88064EA813D9}" name="PivotTable50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33:D336" firstHeaderRow="1" firstDataRow="2" firstDataCol="1"/>
  <pivotFields count="8">
    <pivotField showAll="0"/>
    <pivotField showAll="0"/>
    <pivotField axis="axisCol" showAll="0">
      <items count="5">
        <item x="3"/>
        <item h="1" x="1"/>
        <item h="1" x="0"/>
        <item h="1" x="2"/>
        <item t="default"/>
      </items>
    </pivotField>
    <pivotField axis="axisRow" showAll="0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2">
    <i>
      <x v="48"/>
    </i>
    <i t="grand">
      <x/>
    </i>
  </rowItems>
  <colFields count="1">
    <field x="2"/>
  </colFields>
  <colItems count="2">
    <i>
      <x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383DB-9BB6-4E82-AE92-BF6565A69EF2}" name="PivotTable4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27:D329" firstHeaderRow="1" firstDataRow="1" firstDataCol="1" rowPageCount="1" colPageCount="1"/>
  <pivotFields count="8">
    <pivotField showAll="0"/>
    <pivotField axis="axisRow" showAll="0">
      <items count="12">
        <item x="6"/>
        <item h="1" x="8"/>
        <item h="1" x="3"/>
        <item h="1"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axis="axisPage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2" item="3" hier="-1"/>
  </pageFields>
  <dataFields count="1">
    <dataField name="Count of Units" fld="4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28B57-DF70-4933-A093-99EA9A3E8F8E}" name="PivotTable4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18:I320" firstHeaderRow="1" firstDataRow="1" firstDataCol="1" rowPageCount="1" colPageCount="1"/>
  <pivotFields count="8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axis="axisRow" showAll="0" measureFilter="1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2">
    <i>
      <x v="35"/>
    </i>
    <i t="grand">
      <x/>
    </i>
  </rowItems>
  <colItems count="1">
    <i/>
  </colItems>
  <pageFields count="1">
    <pageField fld="2" item="2" hier="-1"/>
  </pageFields>
  <dataFields count="1">
    <dataField name="Min of Sales" fld="5" subtotal="min" baseField="3" baseItem="6"/>
  </dataField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B9EF1-F2AC-4AC4-ABB7-76B06AF6249B}" name="PivotTable4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18:C320" firstHeaderRow="1" firstDataRow="1" firstDataCol="1" rowPageCount="1" colPageCount="1"/>
  <pivotFields count="8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axis="axisRow" showAll="0" measureFilter="1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2">
    <i>
      <x v="6"/>
    </i>
    <i t="grand">
      <x/>
    </i>
  </rowItems>
  <colItems count="1">
    <i/>
  </colItems>
  <pageFields count="1">
    <pageField fld="2" item="2" hier="-1"/>
  </pageFields>
  <dataFields count="1">
    <dataField name="Max of Sales" fld="5" subtotal="max" baseField="3" baseItem="48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B89AD-9D4F-45AD-B82E-EDB6B7A9E5C0}" name="PivotTable4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09:C311" firstHeaderRow="1" firstDataRow="1" firstDataCol="1" rowPageCount="1" colPageCount="1"/>
  <pivotFields count="8">
    <pivotField showAll="0"/>
    <pivotField axis="axisRow" showAll="0">
      <items count="12">
        <item h="1" x="6"/>
        <item h="1" x="8"/>
        <item h="1" x="3"/>
        <item h="1" x="1"/>
        <item h="1" x="2"/>
        <item h="1" x="10"/>
        <item h="1" x="5"/>
        <item h="1" x="4"/>
        <item x="0"/>
        <item h="1" x="9"/>
        <item h="1" x="7"/>
        <item t="default"/>
      </items>
    </pivotField>
    <pivotField axis="axisPage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2">
    <i>
      <x v="8"/>
    </i>
    <i t="grand">
      <x/>
    </i>
  </rowItems>
  <colItems count="1">
    <i/>
  </colItems>
  <pageFields count="1">
    <pageField fld="2" item="2" hier="-1"/>
  </pageFields>
  <dataFields count="1">
    <dataField name="Sum of Units" fld="4" baseField="1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60A08-A1A9-4210-AE6C-B0722A3553E5}" name="PivotTable4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01:C303" firstHeaderRow="1" firstDataRow="1" firstDataCol="1" rowPageCount="1" colPageCount="1"/>
  <pivotFields count="8">
    <pivotField showAll="0"/>
    <pivotField axis="axisRow" showAll="0" measureFilter="1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Page" multipleItemSelectionAllowed="1" showAll="0">
      <items count="5">
        <item h="1" x="3"/>
        <item h="1" x="1"/>
        <item x="0"/>
        <item h="1"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Max of Sales" fld="5" subtotal="max" baseField="1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48889-31E3-4443-BD8B-4203B6F5A779}" name="PivotTable4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94:B295" firstHeaderRow="1" firstDataRow="1" firstDataCol="0"/>
  <pivotFields count="8"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5D31C-E610-4EA1-B2D2-C160B8370A07}" name="PivotTable4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87:C289" firstHeaderRow="1" firstDataRow="1" firstDataCol="1"/>
  <pivotFields count="8">
    <pivotField showAll="0"/>
    <pivotField showAll="0"/>
    <pivotField showAll="0"/>
    <pivotField axis="axisRow" showAll="0" sortType="descending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h="1" x="43"/>
        <item h="1" x="36"/>
        <item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90">
        <item x="5"/>
        <item x="14"/>
        <item x="49"/>
        <item x="22"/>
        <item x="56"/>
        <item x="76"/>
        <item x="82"/>
        <item x="50"/>
        <item x="26"/>
        <item x="66"/>
        <item x="41"/>
        <item x="38"/>
        <item x="85"/>
        <item x="8"/>
        <item x="64"/>
        <item x="31"/>
        <item x="17"/>
        <item x="86"/>
        <item x="53"/>
        <item x="20"/>
        <item x="88"/>
        <item x="59"/>
        <item x="79"/>
        <item x="83"/>
        <item x="32"/>
        <item x="29"/>
        <item x="73"/>
        <item x="9"/>
        <item x="25"/>
        <item x="68"/>
        <item x="52"/>
        <item x="18"/>
        <item x="39"/>
        <item x="36"/>
        <item x="74"/>
        <item x="87"/>
        <item x="21"/>
        <item x="77"/>
        <item x="3"/>
        <item x="7"/>
        <item x="69"/>
        <item x="60"/>
        <item x="72"/>
        <item x="15"/>
        <item x="24"/>
        <item x="78"/>
        <item x="19"/>
        <item x="71"/>
        <item x="80"/>
        <item x="65"/>
        <item x="6"/>
        <item x="37"/>
        <item x="0"/>
        <item x="16"/>
        <item x="40"/>
        <item x="27"/>
        <item x="35"/>
        <item x="75"/>
        <item x="51"/>
        <item x="12"/>
        <item x="2"/>
        <item x="43"/>
        <item x="58"/>
        <item x="4"/>
        <item x="23"/>
        <item x="57"/>
        <item x="63"/>
        <item x="61"/>
        <item x="45"/>
        <item x="70"/>
        <item x="84"/>
        <item x="67"/>
        <item x="48"/>
        <item x="34"/>
        <item x="55"/>
        <item x="54"/>
        <item x="42"/>
        <item x="13"/>
        <item x="1"/>
        <item x="28"/>
        <item x="81"/>
        <item x="10"/>
        <item x="46"/>
        <item x="33"/>
        <item x="11"/>
        <item x="30"/>
        <item x="62"/>
        <item x="44"/>
        <item x="47"/>
        <item t="default"/>
      </items>
    </pivotField>
    <pivotField showAll="0"/>
    <pivotField showAll="0"/>
  </pivotFields>
  <rowFields count="1">
    <field x="3"/>
  </rowFields>
  <rowItems count="2">
    <i>
      <x v="50"/>
    </i>
    <i t="grand">
      <x/>
    </i>
  </rowItems>
  <colItems count="1">
    <i/>
  </colItems>
  <dataFields count="1">
    <dataField name="Max of Sales" fld="5" subtotal="max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5673E-859B-4F21-BAD5-FB237A433A8D}" name="PivotTable4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71:C283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94E15-96B5-4120-988F-3CD2A98C4569}" name="PivotTable3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1:C263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E30D5-D733-4761-AA82-3CCCB05DC2C4}" name="PivotTable3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46:C247" firstHeaderRow="1" firstDataRow="1" firstDataCol="0"/>
  <pivotFields count="8"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FE9B6-C325-4381-8246-624FF4CFCFA7}" name="PivotTable3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37:D242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F266A-E3F8-43F0-B365-ACA30F378EED}" name="PivotTable3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32:C233" firstHeaderRow="1" firstDataRow="1" firstDataCol="0"/>
  <pivotFields count="8"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19AAC-08F7-4910-BE37-028B16497B1D}" name="PivotTable3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26:C228" firstHeaderRow="1" firstDataRow="1" firstDataCol="1" rowPageCount="1" colPageCount="1"/>
  <pivotFields count="8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axis="axisRow" showAll="0" sortType="descending">
      <items count="80">
        <item h="1" x="60"/>
        <item h="1" x="0"/>
        <item h="1" x="71"/>
        <item h="1" x="1"/>
        <item h="1" x="21"/>
        <item h="1" x="25"/>
        <item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h="1"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3"/>
  </rowFields>
  <rowItems count="2">
    <i>
      <x v="6"/>
    </i>
    <i t="grand">
      <x/>
    </i>
  </rowItems>
  <colItems count="1">
    <i/>
  </colItems>
  <pageFields count="1">
    <pageField fld="2" item="2" hier="-1"/>
  </pageFields>
  <dataFields count="1">
    <dataField name="Max of Sales" fld="5" subtotal="max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BE420-8B0B-42A9-B788-608550313A4A}" name="PivotTable3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37:H139" firstHeaderRow="1" firstDataRow="1" firstDataCol="1"/>
  <pivotFields count="8">
    <pivotField showAll="0"/>
    <pivotField showAll="0"/>
    <pivotField axis="axisRow" showAll="0">
      <items count="5">
        <item x="3"/>
        <item h="1" x="1"/>
        <item h="1" x="0"/>
        <item h="1"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Min of Sales" fld="5" subtotal="min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F0503-FB2B-4D01-8C09-CA1E50C7EA7E}" name="PivotTable2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5:K68" firstHeaderRow="1" firstDataRow="2" firstDataCol="1"/>
  <pivotFields count="8">
    <pivotField showAll="0"/>
    <pivotField axis="axisRow"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axis="axisCol" showAll="0">
      <items count="5">
        <item h="1" x="3"/>
        <item h="1" x="1"/>
        <item x="0"/>
        <item h="1"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2">
    <i>
      <x v="6"/>
    </i>
    <i t="grand">
      <x/>
    </i>
  </rowItems>
  <colFields count="1">
    <field x="2"/>
  </colFields>
  <colItems count="2">
    <i>
      <x v="2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526C7-928E-4299-B68D-7F5E53E4F083}" name="PivotTable2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2:I24" firstHeaderRow="1" firstDataRow="1" firstDataCol="1"/>
  <pivotFields count="8">
    <pivotField showAll="0"/>
    <pivotField axis="axisRow" showAll="0">
      <items count="12">
        <item h="1" x="6"/>
        <item h="1" x="8"/>
        <item h="1" x="3"/>
        <item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"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2529D-C99A-42F4-B535-8161C242A0CE}" name="PivotTable2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8:H10" firstHeaderRow="1" firstDataRow="1" firstDataCol="1"/>
  <pivotFields count="8">
    <pivotField showAll="0"/>
    <pivotField axis="axisRow" showAll="0">
      <items count="12">
        <item x="6"/>
        <item h="1" x="8"/>
        <item h="1" x="3"/>
        <item h="1"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Average of Sales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E4FB9-80E7-4EF2-AA61-C3991523B53F}" name="PivotTable2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4:B125" firstHeaderRow="1" firstDataRow="1" firstDataCol="0"/>
  <pivotFields count="8"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0A48E-4855-444E-99B9-21AE295140F3}" name="PivotTable2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0:C132" firstHeaderRow="1" firstDataRow="1" firstDataCol="1"/>
  <pivotFields count="8">
    <pivotField showAll="0"/>
    <pivotField showAll="0"/>
    <pivotField showAll="0"/>
    <pivotField axis="axisRow" showAll="0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h="1" x="43"/>
        <item h="1" x="36"/>
        <item h="1" x="48"/>
        <item h="1" x="38"/>
        <item h="1" x="52"/>
        <item h="1" x="14"/>
        <item h="1" x="20"/>
        <item h="1" x="18"/>
        <item h="1" x="51"/>
        <item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2">
    <i>
      <x v="57"/>
    </i>
    <i t="grand">
      <x/>
    </i>
  </rowItems>
  <colItems count="1">
    <i/>
  </colItems>
  <dataFields count="1">
    <dataField name="Max of Units" fld="4" subtotal="max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266F2-7E3E-431C-9B57-3D0157EB75C0}" name="PivotTable1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06:H219" firstHeaderRow="1" firstDataRow="2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02764-2BC6-4046-8ED3-153A24CB1F43}" name="PivotTable1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5:D120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F55CF-F567-45DA-A90C-CC2C99EE931C}" name="PivotTable1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8:C200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Sales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7D808-53FD-4DB2-9B5C-D1737D2DFFA0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8"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1BCCC-64D3-42BC-BB73-3D6E70BD9317}" name="PivotTable1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46:E148" firstHeaderRow="0" firstDataRow="1" firstDataCol="1"/>
  <pivotFields count="8">
    <pivotField showAll="0"/>
    <pivotField axis="axisRow" showAll="0" sortType="descending">
      <items count="12">
        <item h="1" x="6"/>
        <item h="1" x="8"/>
        <item h="1" x="3"/>
        <item h="1" x="1"/>
        <item x="2"/>
        <item h="1" x="10"/>
        <item h="1" x="5"/>
        <item h="1" x="4"/>
        <item h="1" x="0"/>
        <item h="1" x="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21">
        <item x="18"/>
        <item x="14"/>
        <item x="8"/>
        <item x="17"/>
        <item x="9"/>
        <item x="7"/>
        <item x="16"/>
        <item x="3"/>
        <item x="0"/>
        <item x="4"/>
        <item x="13"/>
        <item x="2"/>
        <item x="6"/>
        <item x="1"/>
        <item x="12"/>
        <item x="5"/>
        <item x="15"/>
        <item x="19"/>
        <item x="10"/>
        <item x="11"/>
        <item t="default"/>
      </items>
    </pivotField>
    <pivotField dataField="1" showAll="0"/>
    <pivotField showAll="0"/>
    <pivotField showAll="0"/>
  </pivotFields>
  <rowFields count="1">
    <field x="1"/>
  </rowFields>
  <rowItems count="2"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1" baseItem="4"/>
    <dataField name="Sum of Sales" fld="5" baseField="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1CF59-69F9-4945-82F1-C5BE9E317D6B}" name="PivotTable1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8:D110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D1457-B5E8-4767-828D-058F71A922AA}" name="PivotTable1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69:H182" firstHeaderRow="1" firstDataRow="2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>
      <items count="90">
        <item x="5"/>
        <item x="14"/>
        <item x="49"/>
        <item x="22"/>
        <item x="56"/>
        <item x="76"/>
        <item x="82"/>
        <item x="50"/>
        <item x="26"/>
        <item x="66"/>
        <item x="41"/>
        <item x="38"/>
        <item x="85"/>
        <item x="8"/>
        <item x="64"/>
        <item x="31"/>
        <item x="17"/>
        <item x="86"/>
        <item x="53"/>
        <item x="20"/>
        <item x="88"/>
        <item x="59"/>
        <item x="79"/>
        <item x="83"/>
        <item x="32"/>
        <item x="29"/>
        <item x="73"/>
        <item x="9"/>
        <item x="25"/>
        <item x="68"/>
        <item x="52"/>
        <item x="18"/>
        <item x="39"/>
        <item x="36"/>
        <item x="74"/>
        <item x="87"/>
        <item x="21"/>
        <item x="77"/>
        <item x="3"/>
        <item x="7"/>
        <item x="69"/>
        <item x="60"/>
        <item x="72"/>
        <item x="15"/>
        <item x="24"/>
        <item x="78"/>
        <item x="19"/>
        <item x="71"/>
        <item x="80"/>
        <item x="65"/>
        <item x="6"/>
        <item x="37"/>
        <item x="0"/>
        <item x="16"/>
        <item x="40"/>
        <item x="27"/>
        <item x="35"/>
        <item x="75"/>
        <item x="51"/>
        <item x="12"/>
        <item x="2"/>
        <item x="43"/>
        <item x="58"/>
        <item x="4"/>
        <item x="23"/>
        <item x="57"/>
        <item x="63"/>
        <item x="61"/>
        <item x="45"/>
        <item x="70"/>
        <item x="84"/>
        <item x="67"/>
        <item x="48"/>
        <item x="34"/>
        <item x="55"/>
        <item x="54"/>
        <item x="42"/>
        <item x="13"/>
        <item x="1"/>
        <item x="28"/>
        <item x="81"/>
        <item x="10"/>
        <item x="46"/>
        <item x="33"/>
        <item x="11"/>
        <item x="30"/>
        <item x="62"/>
        <item x="44"/>
        <item x="47"/>
        <item t="default"/>
      </items>
    </pivotField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Max of Sales" fld="5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EEF18-3CC2-4B1E-853A-3685EE646A61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8:CF61" firstHeaderRow="1" firstDataRow="2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Col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colItems>
  <dataFields count="1">
    <dataField name="Average of Uni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3EA67-123B-4635-A885-CCE22402BC71}" name="PivotTable1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37:D139" firstHeaderRow="1" firstDataRow="1" firstDataCol="1"/>
  <pivotFields count="8">
    <pivotField showAll="0"/>
    <pivotField showAll="0"/>
    <pivotField axis="axisRow" showAll="0" sortType="descending">
      <items count="5">
        <item h="1" x="3"/>
        <item h="1" x="1"/>
        <item h="1"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2"/>
  </rowFields>
  <rowItems count="2">
    <i>
      <x v="3"/>
    </i>
    <i t="grand">
      <x/>
    </i>
  </rowItems>
  <colItems count="1">
    <i/>
  </colItems>
  <dataFields count="1">
    <dataField name="Max of Sales" fld="5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5152D-F7EC-47D6-8850-8F4F6DC7EDD8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4:C25" firstHeaderRow="1" firstDataRow="1" firstDataCol="0" rowPageCount="1" colPageCount="1"/>
  <pivotFields count="8">
    <pivotField showAll="0"/>
    <pivotField axis="axisPage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pageFields count="1">
    <pageField fld="1" item="3" hier="-1"/>
  </pageField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49473-0FE6-42DA-81EA-0800124CB2AD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0:C11" firstHeaderRow="1" firstDataRow="1" firstDataCol="0" rowPageCount="1" colPageCount="1"/>
  <pivotFields count="8">
    <pivotField showAll="0"/>
    <pivotField axis="axisPage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pageFields count="1">
    <pageField fld="1" item="0" hier="-1"/>
  </pageFields>
  <dataFields count="1">
    <dataField name="Average of Sale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3DEC6-D8F9-4276-B4CE-DDF2AD30C407}" name="PivotTable1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1:D93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>
      <items count="21">
        <item x="18"/>
        <item x="14"/>
        <item x="8"/>
        <item x="17"/>
        <item x="9"/>
        <item x="7"/>
        <item x="16"/>
        <item x="3"/>
        <item x="0"/>
        <item x="4"/>
        <item x="13"/>
        <item x="2"/>
        <item x="6"/>
        <item x="1"/>
        <item x="12"/>
        <item x="5"/>
        <item x="15"/>
        <item x="19"/>
        <item x="10"/>
        <item x="11"/>
        <item t="default"/>
      </items>
    </pivotField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COGS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F40BB-1EDE-4F20-BB90-1E971D8FD160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62:D164" firstHeaderRow="1" firstDataRow="1" firstDataCol="1"/>
  <pivotFields count="8">
    <pivotField showAll="0"/>
    <pivotField axis="axisRow" showAll="0" measureFilter="1" sortType="ascending" minSubtotal="1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min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 maxSubtotal="1" minSubtotal="1">
      <items count="100">
        <item x="5"/>
        <item x="39"/>
        <item x="55"/>
        <item x="19"/>
        <item x="14"/>
        <item x="62"/>
        <item x="84"/>
        <item x="17"/>
        <item x="25"/>
        <item x="31"/>
        <item x="40"/>
        <item x="23"/>
        <item x="90"/>
        <item x="72"/>
        <item x="56"/>
        <item x="74"/>
        <item x="47"/>
        <item x="33"/>
        <item x="34"/>
        <item x="93"/>
        <item x="8"/>
        <item x="94"/>
        <item x="27"/>
        <item x="59"/>
        <item x="21"/>
        <item x="97"/>
        <item x="16"/>
        <item x="65"/>
        <item x="87"/>
        <item x="91"/>
        <item x="20"/>
        <item x="78"/>
        <item x="88"/>
        <item x="3"/>
        <item x="9"/>
        <item x="38"/>
        <item x="6"/>
        <item x="26"/>
        <item x="15"/>
        <item x="80"/>
        <item x="58"/>
        <item x="44"/>
        <item x="41"/>
        <item x="81"/>
        <item x="42"/>
        <item x="96"/>
        <item x="85"/>
        <item x="29"/>
        <item x="7"/>
        <item x="82"/>
        <item x="22"/>
        <item x="12"/>
        <item x="10"/>
        <item x="76"/>
        <item x="66"/>
        <item x="11"/>
        <item x="83"/>
        <item x="79"/>
        <item x="86"/>
        <item x="32"/>
        <item x="0"/>
        <item x="37"/>
        <item x="2"/>
        <item x="46"/>
        <item x="63"/>
        <item x="1"/>
        <item x="73"/>
        <item x="30"/>
        <item x="35"/>
        <item x="36"/>
        <item x="4"/>
        <item x="28"/>
        <item x="68"/>
        <item x="70"/>
        <item x="67"/>
        <item x="95"/>
        <item x="51"/>
        <item x="77"/>
        <item x="24"/>
        <item x="57"/>
        <item x="13"/>
        <item x="92"/>
        <item x="49"/>
        <item x="89"/>
        <item x="64"/>
        <item x="61"/>
        <item x="69"/>
        <item x="50"/>
        <item x="53"/>
        <item x="75"/>
        <item x="54"/>
        <item x="52"/>
        <item x="45"/>
        <item x="60"/>
        <item x="48"/>
        <item x="18"/>
        <item x="71"/>
        <item x="43"/>
        <item t="max"/>
        <item t="min"/>
      </items>
    </pivotField>
  </pivotFields>
  <rowFields count="1">
    <field x="1"/>
  </rowFields>
  <rowItems count="2">
    <i>
      <x v="3"/>
    </i>
    <i t="grand">
      <x/>
    </i>
  </rowItems>
  <colItems count="1">
    <i/>
  </colItems>
  <dataFields count="1">
    <dataField name="Min of Price" fld="7" subtotal="min" baseField="1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124E8-3474-430E-8356-8525330167FE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C17" firstHeaderRow="1" firstDataRow="1" firstDataCol="1"/>
  <pivotFields count="8">
    <pivotField showAll="0"/>
    <pivotField axis="axisRow" showAll="0" sortType="descending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 v="6"/>
    </i>
    <i t="grand">
      <x/>
    </i>
  </rowItems>
  <colItems count="1">
    <i/>
  </colItems>
  <dataFields count="1">
    <dataField name="Max of COGS" fld="6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C37AC-B812-4443-AE09-6F57CDC8808E}" name="PivotTable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8:D69" firstHeaderRow="1" firstDataRow="1" firstDataCol="0" rowPageCount="2" colPageCount="1"/>
  <pivotFields count="8">
    <pivotField showAll="0"/>
    <pivotField axis="axisPage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Page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Items count="1">
    <i/>
  </rowItems>
  <colItems count="1">
    <i/>
  </colItems>
  <pageFields count="2">
    <pageField fld="2" item="2" hier="-1"/>
    <pageField fld="1" item="6" hier="-1"/>
  </pageField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4649D-62A8-459D-B1DF-8210E0A7DA29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55:D157" firstHeaderRow="1" firstDataRow="1" firstDataCol="1"/>
  <pivotFields count="8">
    <pivotField showAll="0"/>
    <pivotField axis="axisRow" showAll="0" measureFilter="1" sortType="descending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 v="5"/>
    </i>
    <i t="grand">
      <x/>
    </i>
  </rowItems>
  <colItems count="1">
    <i/>
  </colItems>
  <dataFields count="1">
    <dataField name="Max of Price" fld="7" subtotal="max" baseField="1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00389-1514-45E3-A7B3-557B6BD71157}" name="PivotTable10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3:E75" firstHeaderRow="1" firstDataRow="1" firstDataCol="1"/>
  <pivotFields count="8">
    <pivotField showAll="0"/>
    <pivotField showAll="0" sortType="descending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measureFilter="1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2">
    <i>
      <x v="50"/>
    </i>
    <i t="grand">
      <x/>
    </i>
  </rowItems>
  <colItems count="1">
    <i/>
  </colItems>
  <dataFields count="1">
    <dataField name="Max of Sales" fld="5" subtotal="max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7907B-DAC8-45B6-90BD-E3C1E9711CB5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0:D42" firstHeaderRow="1" firstDataRow="1" firstDataCol="1"/>
  <pivotFields count="8">
    <pivotField showAl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axis="axisRow" dataField="1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Produ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D609AB-98C7-4EAD-83AC-572B79790EA2}" autoFormatId="16" applyNumberFormats="0" applyBorderFormats="0" applyFontFormats="0" applyPatternFormats="0" applyAlignmentFormats="0" applyWidthHeightFormats="0">
  <queryTableRefresh nextId="9">
    <queryTableFields count="8">
      <queryTableField id="1" name="Sr. No." tableColumnId="1"/>
      <queryTableField id="2" name="Product" tableColumnId="2"/>
      <queryTableField id="3" name="Region" tableColumnId="3"/>
      <queryTableField id="4" name="Names" tableColumnId="4"/>
      <queryTableField id="5" name="Units" tableColumnId="5"/>
      <queryTableField id="6" name="Sales" tableColumnId="6"/>
      <queryTableField id="7" name="COGS" tableColumnId="7"/>
      <queryTableField id="8" name="Pric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AD965-103B-4E16-9680-31FE41251E26}" name="sales" displayName="sales" ref="A1:H124" tableType="queryTable" totalsRowShown="0">
  <autoFilter ref="A1:H124" xr:uid="{300AD965-103B-4E16-9680-31FE41251E26}"/>
  <tableColumns count="8">
    <tableColumn id="1" xr3:uid="{462EB3BE-F344-4C61-A246-0F26BF04AEF5}" uniqueName="1" name="Sr. No." queryTableFieldId="1"/>
    <tableColumn id="2" xr3:uid="{C2AD17A2-3ADB-457F-BD99-A14D9E072686}" uniqueName="2" name="Product" queryTableFieldId="2" dataDxfId="2"/>
    <tableColumn id="3" xr3:uid="{6B877A4F-FCC3-45F6-931C-7D927DA69EAC}" uniqueName="3" name="Region" queryTableFieldId="3" dataDxfId="1"/>
    <tableColumn id="4" xr3:uid="{DA31733C-E3D4-4EB5-B25D-ACB6F977DE5C}" uniqueName="4" name="Names" queryTableFieldId="4" dataDxfId="0"/>
    <tableColumn id="5" xr3:uid="{45C94903-457F-4410-A6E0-B5D6C1419510}" uniqueName="5" name="Units" queryTableFieldId="5"/>
    <tableColumn id="6" xr3:uid="{83C1F2FE-496B-4118-824C-3164C358AB52}" uniqueName="6" name="Sales" queryTableFieldId="6"/>
    <tableColumn id="7" xr3:uid="{1C356D12-0489-4D59-9E14-E76EB917437E}" uniqueName="7" name="COGS" queryTableFieldId="7"/>
    <tableColumn id="8" xr3:uid="{CD6B37D8-F925-4693-8719-33203EB2357A}" uniqueName="8" name="Pric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9" Type="http://schemas.openxmlformats.org/officeDocument/2006/relationships/pivotTable" Target="../pivotTables/pivotTable39.xml"/><Relationship Id="rId21" Type="http://schemas.openxmlformats.org/officeDocument/2006/relationships/pivotTable" Target="../pivotTables/pivotTable21.xml"/><Relationship Id="rId34" Type="http://schemas.openxmlformats.org/officeDocument/2006/relationships/pivotTable" Target="../pivotTables/pivotTable34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38" Type="http://schemas.openxmlformats.org/officeDocument/2006/relationships/pivotTable" Target="../pivotTables/pivotTable38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37" Type="http://schemas.openxmlformats.org/officeDocument/2006/relationships/pivotTable" Target="../pivotTables/pivotTable37.xml"/><Relationship Id="rId40" Type="http://schemas.openxmlformats.org/officeDocument/2006/relationships/pivotTable" Target="../pivotTables/pivotTable40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ED28-63BE-4276-BEC7-C783727B6076}">
  <dimension ref="A1:H124"/>
  <sheetViews>
    <sheetView workbookViewId="0">
      <selection activeCell="N18" sqref="N18"/>
    </sheetView>
  </sheetViews>
  <sheetFormatPr defaultRowHeight="14.4" x14ac:dyDescent="0.3"/>
  <cols>
    <col min="2" max="2" width="11.21875" bestFit="1" customWidth="1"/>
    <col min="3" max="3" width="9" bestFit="1" customWidth="1"/>
    <col min="4" max="4" width="9.77734375" bestFit="1" customWidth="1"/>
    <col min="5" max="5" width="7.5546875" bestFit="1" customWidth="1"/>
    <col min="6" max="6" width="7.44140625" bestFit="1" customWidth="1"/>
    <col min="7" max="7" width="7.88671875" bestFit="1" customWidth="1"/>
    <col min="8" max="8" width="8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>
        <v>15</v>
      </c>
      <c r="F2">
        <v>523</v>
      </c>
      <c r="G2">
        <v>321</v>
      </c>
      <c r="H2">
        <v>34.866700000000002</v>
      </c>
    </row>
    <row r="3" spans="1:8" x14ac:dyDescent="0.3">
      <c r="A3">
        <v>2</v>
      </c>
      <c r="B3" t="s">
        <v>8</v>
      </c>
      <c r="C3" t="s">
        <v>9</v>
      </c>
      <c r="D3" t="s">
        <v>11</v>
      </c>
      <c r="E3">
        <v>20</v>
      </c>
      <c r="F3">
        <v>792</v>
      </c>
      <c r="G3">
        <v>456</v>
      </c>
      <c r="H3">
        <v>39.6</v>
      </c>
    </row>
    <row r="4" spans="1:8" x14ac:dyDescent="0.3">
      <c r="A4">
        <v>3</v>
      </c>
      <c r="B4" t="s">
        <v>8</v>
      </c>
      <c r="C4" t="s">
        <v>9</v>
      </c>
      <c r="D4" t="s">
        <v>12</v>
      </c>
      <c r="E4">
        <v>18</v>
      </c>
      <c r="F4">
        <v>654</v>
      </c>
      <c r="G4">
        <v>398</v>
      </c>
      <c r="H4">
        <v>36.333300000000001</v>
      </c>
    </row>
    <row r="5" spans="1:8" x14ac:dyDescent="0.3">
      <c r="A5">
        <v>4</v>
      </c>
      <c r="B5" t="s">
        <v>8</v>
      </c>
      <c r="C5" t="s">
        <v>9</v>
      </c>
      <c r="D5" t="s">
        <v>13</v>
      </c>
      <c r="E5">
        <v>14</v>
      </c>
      <c r="F5">
        <v>345</v>
      </c>
      <c r="G5">
        <v>210</v>
      </c>
      <c r="H5">
        <v>24.642900000000001</v>
      </c>
    </row>
    <row r="6" spans="1:8" x14ac:dyDescent="0.3">
      <c r="A6">
        <v>5</v>
      </c>
      <c r="B6" t="s">
        <v>8</v>
      </c>
      <c r="C6" t="s">
        <v>9</v>
      </c>
      <c r="D6" t="s">
        <v>14</v>
      </c>
      <c r="E6">
        <v>16</v>
      </c>
      <c r="F6">
        <v>678</v>
      </c>
      <c r="G6">
        <v>412</v>
      </c>
      <c r="H6">
        <v>42.375</v>
      </c>
    </row>
    <row r="7" spans="1:8" x14ac:dyDescent="0.3">
      <c r="A7">
        <v>6</v>
      </c>
      <c r="B7" t="s">
        <v>15</v>
      </c>
      <c r="C7" t="s">
        <v>16</v>
      </c>
      <c r="D7" t="s">
        <v>17</v>
      </c>
      <c r="E7">
        <v>22</v>
      </c>
      <c r="F7">
        <v>123</v>
      </c>
      <c r="G7">
        <v>78</v>
      </c>
      <c r="H7">
        <v>5.5909000000000004</v>
      </c>
    </row>
    <row r="8" spans="1:8" x14ac:dyDescent="0.3">
      <c r="A8">
        <v>7</v>
      </c>
      <c r="B8" t="s">
        <v>15</v>
      </c>
      <c r="C8" t="s">
        <v>16</v>
      </c>
      <c r="D8" t="s">
        <v>18</v>
      </c>
      <c r="E8">
        <v>19</v>
      </c>
      <c r="F8">
        <v>489</v>
      </c>
      <c r="G8">
        <v>286</v>
      </c>
      <c r="H8">
        <v>25.736799999999999</v>
      </c>
    </row>
    <row r="9" spans="1:8" x14ac:dyDescent="0.3">
      <c r="A9">
        <v>8</v>
      </c>
      <c r="B9" t="s">
        <v>15</v>
      </c>
      <c r="C9" t="s">
        <v>16</v>
      </c>
      <c r="D9" t="s">
        <v>19</v>
      </c>
      <c r="E9">
        <v>12</v>
      </c>
      <c r="F9">
        <v>354</v>
      </c>
      <c r="G9">
        <v>215</v>
      </c>
      <c r="H9">
        <v>29.5</v>
      </c>
    </row>
    <row r="10" spans="1:8" x14ac:dyDescent="0.3">
      <c r="A10">
        <v>9</v>
      </c>
      <c r="B10" t="s">
        <v>15</v>
      </c>
      <c r="C10" t="s">
        <v>16</v>
      </c>
      <c r="D10" t="s">
        <v>20</v>
      </c>
      <c r="E10">
        <v>9</v>
      </c>
      <c r="F10">
        <v>195</v>
      </c>
      <c r="G10">
        <v>114</v>
      </c>
      <c r="H10">
        <v>21.666699999999999</v>
      </c>
    </row>
    <row r="11" spans="1:8" x14ac:dyDescent="0.3">
      <c r="A11">
        <v>10</v>
      </c>
      <c r="B11" t="s">
        <v>21</v>
      </c>
      <c r="C11" t="s">
        <v>22</v>
      </c>
      <c r="D11" t="s">
        <v>23</v>
      </c>
      <c r="E11">
        <v>11</v>
      </c>
      <c r="F11">
        <v>274</v>
      </c>
      <c r="G11">
        <v>167</v>
      </c>
      <c r="H11">
        <v>24.909099999999999</v>
      </c>
    </row>
    <row r="12" spans="1:8" x14ac:dyDescent="0.3">
      <c r="A12">
        <v>11</v>
      </c>
      <c r="B12" t="s">
        <v>21</v>
      </c>
      <c r="C12" t="s">
        <v>22</v>
      </c>
      <c r="D12" t="s">
        <v>24</v>
      </c>
      <c r="E12">
        <v>26</v>
      </c>
      <c r="F12">
        <v>837</v>
      </c>
      <c r="G12">
        <v>512</v>
      </c>
      <c r="H12">
        <v>32.192300000000003</v>
      </c>
    </row>
    <row r="13" spans="1:8" x14ac:dyDescent="0.3">
      <c r="A13">
        <v>12</v>
      </c>
      <c r="B13" t="s">
        <v>21</v>
      </c>
      <c r="C13" t="s">
        <v>22</v>
      </c>
      <c r="D13" t="s">
        <v>25</v>
      </c>
      <c r="E13">
        <v>28</v>
      </c>
      <c r="F13">
        <v>911</v>
      </c>
      <c r="G13">
        <v>556</v>
      </c>
      <c r="H13">
        <v>32.535699999999999</v>
      </c>
    </row>
    <row r="14" spans="1:8" x14ac:dyDescent="0.3">
      <c r="A14">
        <v>13</v>
      </c>
      <c r="B14" t="s">
        <v>21</v>
      </c>
      <c r="C14" t="s">
        <v>22</v>
      </c>
      <c r="D14" t="s">
        <v>26</v>
      </c>
      <c r="E14">
        <v>21</v>
      </c>
      <c r="F14">
        <v>653</v>
      </c>
      <c r="G14">
        <v>398</v>
      </c>
      <c r="H14">
        <v>31.095199999999998</v>
      </c>
    </row>
    <row r="15" spans="1:8" x14ac:dyDescent="0.3">
      <c r="A15">
        <v>14</v>
      </c>
      <c r="B15" t="s">
        <v>27</v>
      </c>
      <c r="C15" t="s">
        <v>28</v>
      </c>
      <c r="D15" t="s">
        <v>29</v>
      </c>
      <c r="E15">
        <v>17</v>
      </c>
      <c r="F15">
        <v>789</v>
      </c>
      <c r="G15">
        <v>458</v>
      </c>
      <c r="H15">
        <v>46.411799999999999</v>
      </c>
    </row>
    <row r="16" spans="1:8" x14ac:dyDescent="0.3">
      <c r="A16">
        <v>15</v>
      </c>
      <c r="B16" t="s">
        <v>27</v>
      </c>
      <c r="C16" t="s">
        <v>28</v>
      </c>
      <c r="D16" t="s">
        <v>30</v>
      </c>
      <c r="E16">
        <v>8</v>
      </c>
      <c r="F16">
        <v>125</v>
      </c>
      <c r="G16">
        <v>76</v>
      </c>
      <c r="H16">
        <v>15.625</v>
      </c>
    </row>
    <row r="17" spans="1:8" x14ac:dyDescent="0.3">
      <c r="A17">
        <v>16</v>
      </c>
      <c r="B17" t="s">
        <v>27</v>
      </c>
      <c r="C17" t="s">
        <v>28</v>
      </c>
      <c r="D17" t="s">
        <v>31</v>
      </c>
      <c r="E17">
        <v>14</v>
      </c>
      <c r="F17">
        <v>367</v>
      </c>
      <c r="G17">
        <v>224</v>
      </c>
      <c r="H17">
        <v>26.214300000000001</v>
      </c>
    </row>
    <row r="18" spans="1:8" x14ac:dyDescent="0.3">
      <c r="A18">
        <v>17</v>
      </c>
      <c r="B18" t="s">
        <v>27</v>
      </c>
      <c r="C18" t="s">
        <v>28</v>
      </c>
      <c r="D18" t="s">
        <v>32</v>
      </c>
      <c r="E18">
        <v>23</v>
      </c>
      <c r="F18">
        <v>524</v>
      </c>
      <c r="G18">
        <v>319</v>
      </c>
      <c r="H18">
        <v>22.782599999999999</v>
      </c>
    </row>
    <row r="19" spans="1:8" x14ac:dyDescent="0.3">
      <c r="A19">
        <v>18</v>
      </c>
      <c r="B19" t="s">
        <v>33</v>
      </c>
      <c r="C19" t="s">
        <v>9</v>
      </c>
      <c r="D19" t="s">
        <v>34</v>
      </c>
      <c r="E19">
        <v>13</v>
      </c>
      <c r="F19">
        <v>213</v>
      </c>
      <c r="G19">
        <v>130</v>
      </c>
      <c r="H19">
        <v>16.384599999999999</v>
      </c>
    </row>
    <row r="20" spans="1:8" x14ac:dyDescent="0.3">
      <c r="A20">
        <v>19</v>
      </c>
      <c r="B20" t="s">
        <v>33</v>
      </c>
      <c r="C20" t="s">
        <v>9</v>
      </c>
      <c r="D20" t="s">
        <v>35</v>
      </c>
      <c r="E20">
        <v>15</v>
      </c>
      <c r="F20">
        <v>789</v>
      </c>
      <c r="G20">
        <v>458</v>
      </c>
      <c r="H20">
        <v>52.6</v>
      </c>
    </row>
    <row r="21" spans="1:8" x14ac:dyDescent="0.3">
      <c r="A21">
        <v>20</v>
      </c>
      <c r="B21" t="s">
        <v>33</v>
      </c>
      <c r="C21" t="s">
        <v>9</v>
      </c>
      <c r="D21" t="s">
        <v>36</v>
      </c>
      <c r="E21">
        <v>21</v>
      </c>
      <c r="F21">
        <v>312</v>
      </c>
      <c r="G21">
        <v>190</v>
      </c>
      <c r="H21">
        <v>14.857100000000001</v>
      </c>
    </row>
    <row r="22" spans="1:8" x14ac:dyDescent="0.3">
      <c r="A22">
        <v>21</v>
      </c>
      <c r="B22" t="s">
        <v>33</v>
      </c>
      <c r="C22" t="s">
        <v>16</v>
      </c>
      <c r="D22" t="s">
        <v>37</v>
      </c>
      <c r="E22">
        <v>19</v>
      </c>
      <c r="F22">
        <v>456</v>
      </c>
      <c r="G22">
        <v>279</v>
      </c>
      <c r="H22">
        <v>24</v>
      </c>
    </row>
    <row r="23" spans="1:8" x14ac:dyDescent="0.3">
      <c r="A23">
        <v>22</v>
      </c>
      <c r="B23" t="s">
        <v>38</v>
      </c>
      <c r="C23" t="s">
        <v>16</v>
      </c>
      <c r="D23" t="s">
        <v>39</v>
      </c>
      <c r="E23">
        <v>10</v>
      </c>
      <c r="F23">
        <v>224</v>
      </c>
      <c r="G23">
        <v>137</v>
      </c>
      <c r="H23">
        <v>22.4</v>
      </c>
    </row>
    <row r="24" spans="1:8" x14ac:dyDescent="0.3">
      <c r="A24">
        <v>23</v>
      </c>
      <c r="B24" t="s">
        <v>38</v>
      </c>
      <c r="C24" t="s">
        <v>28</v>
      </c>
      <c r="D24" t="s">
        <v>40</v>
      </c>
      <c r="E24">
        <v>11</v>
      </c>
      <c r="F24">
        <v>334</v>
      </c>
      <c r="G24">
        <v>204</v>
      </c>
      <c r="H24">
        <v>30.363600000000002</v>
      </c>
    </row>
    <row r="25" spans="1:8" x14ac:dyDescent="0.3">
      <c r="A25">
        <v>24</v>
      </c>
      <c r="B25" t="s">
        <v>38</v>
      </c>
      <c r="C25" t="s">
        <v>28</v>
      </c>
      <c r="D25" t="s">
        <v>41</v>
      </c>
      <c r="E25">
        <v>7</v>
      </c>
      <c r="F25">
        <v>135</v>
      </c>
      <c r="G25">
        <v>83</v>
      </c>
      <c r="H25">
        <v>19.285699999999999</v>
      </c>
    </row>
    <row r="26" spans="1:8" x14ac:dyDescent="0.3">
      <c r="A26">
        <v>25</v>
      </c>
      <c r="B26" t="s">
        <v>42</v>
      </c>
      <c r="C26" t="s">
        <v>22</v>
      </c>
      <c r="D26" t="s">
        <v>43</v>
      </c>
      <c r="E26">
        <v>15</v>
      </c>
      <c r="F26">
        <v>689</v>
      </c>
      <c r="G26">
        <v>421</v>
      </c>
      <c r="H26">
        <v>45.933300000000003</v>
      </c>
    </row>
    <row r="27" spans="1:8" x14ac:dyDescent="0.3">
      <c r="A27">
        <v>26</v>
      </c>
      <c r="B27" t="s">
        <v>42</v>
      </c>
      <c r="C27" t="s">
        <v>22</v>
      </c>
      <c r="D27" t="s">
        <v>44</v>
      </c>
      <c r="E27">
        <v>25</v>
      </c>
      <c r="F27">
        <v>432</v>
      </c>
      <c r="G27">
        <v>263</v>
      </c>
      <c r="H27">
        <v>17.28</v>
      </c>
    </row>
    <row r="28" spans="1:8" x14ac:dyDescent="0.3">
      <c r="A28">
        <v>27</v>
      </c>
      <c r="B28" t="s">
        <v>42</v>
      </c>
      <c r="C28" t="s">
        <v>22</v>
      </c>
      <c r="D28" t="s">
        <v>45</v>
      </c>
      <c r="E28">
        <v>11</v>
      </c>
      <c r="F28">
        <v>287</v>
      </c>
      <c r="G28">
        <v>175</v>
      </c>
      <c r="H28">
        <v>26.090900000000001</v>
      </c>
    </row>
    <row r="29" spans="1:8" x14ac:dyDescent="0.3">
      <c r="A29">
        <v>28</v>
      </c>
      <c r="B29" t="s">
        <v>46</v>
      </c>
      <c r="C29" t="s">
        <v>28</v>
      </c>
      <c r="D29" t="s">
        <v>47</v>
      </c>
      <c r="E29">
        <v>8</v>
      </c>
      <c r="F29">
        <v>176</v>
      </c>
      <c r="G29">
        <v>107</v>
      </c>
      <c r="H29">
        <v>22</v>
      </c>
    </row>
    <row r="30" spans="1:8" x14ac:dyDescent="0.3">
      <c r="A30">
        <v>29</v>
      </c>
      <c r="B30" t="s">
        <v>46</v>
      </c>
      <c r="C30" t="s">
        <v>22</v>
      </c>
      <c r="D30" t="s">
        <v>48</v>
      </c>
      <c r="E30">
        <v>13</v>
      </c>
      <c r="F30">
        <v>555</v>
      </c>
      <c r="G30">
        <v>339</v>
      </c>
      <c r="H30">
        <v>42.692300000000003</v>
      </c>
    </row>
    <row r="31" spans="1:8" x14ac:dyDescent="0.3">
      <c r="A31">
        <v>30</v>
      </c>
      <c r="B31" t="s">
        <v>46</v>
      </c>
      <c r="C31" t="s">
        <v>22</v>
      </c>
      <c r="D31" t="s">
        <v>49</v>
      </c>
      <c r="E31">
        <v>15</v>
      </c>
      <c r="F31">
        <v>432</v>
      </c>
      <c r="G31">
        <v>263</v>
      </c>
      <c r="H31">
        <v>28.8</v>
      </c>
    </row>
    <row r="32" spans="1:8" x14ac:dyDescent="0.3">
      <c r="A32">
        <v>31</v>
      </c>
      <c r="B32" t="s">
        <v>50</v>
      </c>
      <c r="C32" t="s">
        <v>9</v>
      </c>
      <c r="D32" t="s">
        <v>51</v>
      </c>
      <c r="E32">
        <v>20</v>
      </c>
      <c r="F32">
        <v>798</v>
      </c>
      <c r="G32">
        <v>487</v>
      </c>
      <c r="H32">
        <v>39.9</v>
      </c>
    </row>
    <row r="33" spans="1:8" x14ac:dyDescent="0.3">
      <c r="A33">
        <v>32</v>
      </c>
      <c r="B33" t="s">
        <v>50</v>
      </c>
      <c r="C33" t="s">
        <v>9</v>
      </c>
      <c r="D33" t="s">
        <v>52</v>
      </c>
      <c r="E33">
        <v>15</v>
      </c>
      <c r="F33">
        <v>265</v>
      </c>
      <c r="G33">
        <v>162</v>
      </c>
      <c r="H33">
        <v>17.666699999999999</v>
      </c>
    </row>
    <row r="34" spans="1:8" x14ac:dyDescent="0.3">
      <c r="A34">
        <v>33</v>
      </c>
      <c r="B34" t="s">
        <v>50</v>
      </c>
      <c r="C34" t="s">
        <v>9</v>
      </c>
      <c r="D34" t="s">
        <v>53</v>
      </c>
      <c r="E34">
        <v>28</v>
      </c>
      <c r="F34">
        <v>976</v>
      </c>
      <c r="G34">
        <v>594</v>
      </c>
      <c r="H34">
        <v>34.857100000000003</v>
      </c>
    </row>
    <row r="35" spans="1:8" x14ac:dyDescent="0.3">
      <c r="A35">
        <v>34</v>
      </c>
      <c r="B35" t="s">
        <v>50</v>
      </c>
      <c r="C35" t="s">
        <v>9</v>
      </c>
      <c r="D35" t="s">
        <v>54</v>
      </c>
      <c r="E35">
        <v>10</v>
      </c>
      <c r="F35">
        <v>211</v>
      </c>
      <c r="G35">
        <v>129</v>
      </c>
      <c r="H35">
        <v>21.1</v>
      </c>
    </row>
    <row r="36" spans="1:8" x14ac:dyDescent="0.3">
      <c r="A36">
        <v>35</v>
      </c>
      <c r="B36" t="s">
        <v>55</v>
      </c>
      <c r="C36" t="s">
        <v>28</v>
      </c>
      <c r="D36" t="s">
        <v>56</v>
      </c>
      <c r="E36">
        <v>12</v>
      </c>
      <c r="F36">
        <v>256</v>
      </c>
      <c r="G36">
        <v>156</v>
      </c>
      <c r="H36">
        <v>21.333300000000001</v>
      </c>
    </row>
    <row r="37" spans="1:8" x14ac:dyDescent="0.3">
      <c r="A37">
        <v>36</v>
      </c>
      <c r="B37" t="s">
        <v>55</v>
      </c>
      <c r="C37" t="s">
        <v>22</v>
      </c>
      <c r="D37" t="s">
        <v>57</v>
      </c>
      <c r="E37">
        <v>22</v>
      </c>
      <c r="F37">
        <v>879</v>
      </c>
      <c r="G37">
        <v>535</v>
      </c>
      <c r="H37">
        <v>39.954500000000003</v>
      </c>
    </row>
    <row r="38" spans="1:8" x14ac:dyDescent="0.3">
      <c r="A38">
        <v>37</v>
      </c>
      <c r="B38" t="s">
        <v>55</v>
      </c>
      <c r="C38" t="s">
        <v>28</v>
      </c>
      <c r="D38" t="s">
        <v>58</v>
      </c>
      <c r="E38">
        <v>19</v>
      </c>
      <c r="F38">
        <v>765</v>
      </c>
      <c r="G38">
        <v>468</v>
      </c>
      <c r="H38">
        <v>40.263199999999998</v>
      </c>
    </row>
    <row r="39" spans="1:8" x14ac:dyDescent="0.3">
      <c r="A39">
        <v>38</v>
      </c>
      <c r="B39" t="s">
        <v>55</v>
      </c>
      <c r="C39" t="s">
        <v>22</v>
      </c>
      <c r="D39" t="s">
        <v>59</v>
      </c>
      <c r="E39">
        <v>17</v>
      </c>
      <c r="F39">
        <v>599</v>
      </c>
      <c r="G39">
        <v>365</v>
      </c>
      <c r="H39">
        <v>35.235300000000002</v>
      </c>
    </row>
    <row r="40" spans="1:8" x14ac:dyDescent="0.3">
      <c r="A40">
        <v>39</v>
      </c>
      <c r="B40" t="s">
        <v>60</v>
      </c>
      <c r="C40" t="s">
        <v>16</v>
      </c>
      <c r="D40" t="s">
        <v>61</v>
      </c>
      <c r="E40">
        <v>18</v>
      </c>
      <c r="F40">
        <v>456</v>
      </c>
      <c r="G40">
        <v>279</v>
      </c>
      <c r="H40">
        <v>25.333300000000001</v>
      </c>
    </row>
    <row r="41" spans="1:8" x14ac:dyDescent="0.3">
      <c r="A41">
        <v>40</v>
      </c>
      <c r="B41" t="s">
        <v>60</v>
      </c>
      <c r="C41" t="s">
        <v>28</v>
      </c>
      <c r="D41" t="s">
        <v>62</v>
      </c>
      <c r="E41">
        <v>9</v>
      </c>
      <c r="F41">
        <v>123</v>
      </c>
      <c r="G41">
        <v>75</v>
      </c>
      <c r="H41">
        <v>13.666700000000001</v>
      </c>
    </row>
    <row r="42" spans="1:8" x14ac:dyDescent="0.3">
      <c r="A42">
        <v>41</v>
      </c>
      <c r="B42" t="s">
        <v>60</v>
      </c>
      <c r="C42" t="s">
        <v>16</v>
      </c>
      <c r="D42" t="s">
        <v>63</v>
      </c>
      <c r="E42">
        <v>12</v>
      </c>
      <c r="F42">
        <v>213</v>
      </c>
      <c r="G42">
        <v>130</v>
      </c>
      <c r="H42">
        <v>17.75</v>
      </c>
    </row>
    <row r="43" spans="1:8" x14ac:dyDescent="0.3">
      <c r="A43">
        <v>42</v>
      </c>
      <c r="B43" t="s">
        <v>60</v>
      </c>
      <c r="C43" t="s">
        <v>28</v>
      </c>
      <c r="D43" t="s">
        <v>64</v>
      </c>
      <c r="E43">
        <v>12</v>
      </c>
      <c r="F43">
        <v>322</v>
      </c>
      <c r="G43">
        <v>197</v>
      </c>
      <c r="H43">
        <v>26.833300000000001</v>
      </c>
    </row>
    <row r="44" spans="1:8" x14ac:dyDescent="0.3">
      <c r="A44">
        <v>43</v>
      </c>
      <c r="B44" t="s">
        <v>60</v>
      </c>
      <c r="C44" t="s">
        <v>16</v>
      </c>
      <c r="D44" t="s">
        <v>61</v>
      </c>
      <c r="E44">
        <v>18</v>
      </c>
      <c r="F44">
        <v>499</v>
      </c>
      <c r="G44">
        <v>305</v>
      </c>
      <c r="H44">
        <v>27.722200000000001</v>
      </c>
    </row>
    <row r="45" spans="1:8" x14ac:dyDescent="0.3">
      <c r="A45">
        <v>44</v>
      </c>
      <c r="B45" t="s">
        <v>60</v>
      </c>
      <c r="C45" t="s">
        <v>28</v>
      </c>
      <c r="D45" t="s">
        <v>62</v>
      </c>
      <c r="E45">
        <v>9</v>
      </c>
      <c r="F45">
        <v>192</v>
      </c>
      <c r="G45">
        <v>117</v>
      </c>
      <c r="H45">
        <v>21.333300000000001</v>
      </c>
    </row>
    <row r="46" spans="1:8" x14ac:dyDescent="0.3">
      <c r="A46">
        <v>45</v>
      </c>
      <c r="B46" t="s">
        <v>60</v>
      </c>
      <c r="C46" t="s">
        <v>16</v>
      </c>
      <c r="D46" t="s">
        <v>63</v>
      </c>
      <c r="E46">
        <v>12</v>
      </c>
      <c r="F46">
        <v>678</v>
      </c>
      <c r="G46">
        <v>413</v>
      </c>
      <c r="H46">
        <v>56.5</v>
      </c>
    </row>
    <row r="47" spans="1:8" x14ac:dyDescent="0.3">
      <c r="A47">
        <v>46</v>
      </c>
      <c r="B47" t="s">
        <v>60</v>
      </c>
      <c r="C47" t="s">
        <v>28</v>
      </c>
      <c r="D47" t="s">
        <v>64</v>
      </c>
      <c r="E47">
        <v>12</v>
      </c>
      <c r="F47">
        <v>321</v>
      </c>
      <c r="G47">
        <v>196</v>
      </c>
      <c r="H47">
        <v>26.75</v>
      </c>
    </row>
    <row r="48" spans="1:8" x14ac:dyDescent="0.3">
      <c r="A48">
        <v>47</v>
      </c>
      <c r="B48" t="s">
        <v>15</v>
      </c>
      <c r="C48" t="s">
        <v>22</v>
      </c>
      <c r="D48" t="s">
        <v>65</v>
      </c>
      <c r="E48">
        <v>15</v>
      </c>
      <c r="F48">
        <v>765</v>
      </c>
      <c r="G48">
        <v>466</v>
      </c>
      <c r="H48">
        <v>51</v>
      </c>
    </row>
    <row r="49" spans="1:8" x14ac:dyDescent="0.3">
      <c r="A49">
        <v>48</v>
      </c>
      <c r="B49" t="s">
        <v>15</v>
      </c>
      <c r="C49" t="s">
        <v>9</v>
      </c>
      <c r="D49" t="s">
        <v>66</v>
      </c>
      <c r="E49">
        <v>14</v>
      </c>
      <c r="F49">
        <v>541</v>
      </c>
      <c r="G49">
        <v>331</v>
      </c>
      <c r="H49">
        <v>38.642899999999997</v>
      </c>
    </row>
    <row r="50" spans="1:8" x14ac:dyDescent="0.3">
      <c r="A50">
        <v>49</v>
      </c>
      <c r="B50" t="s">
        <v>15</v>
      </c>
      <c r="C50" t="s">
        <v>28</v>
      </c>
      <c r="D50" t="s">
        <v>67</v>
      </c>
      <c r="E50">
        <v>9</v>
      </c>
      <c r="F50">
        <v>187</v>
      </c>
      <c r="G50">
        <v>114</v>
      </c>
      <c r="H50">
        <v>20.777799999999999</v>
      </c>
    </row>
    <row r="51" spans="1:8" x14ac:dyDescent="0.3">
      <c r="A51">
        <v>50</v>
      </c>
      <c r="B51" t="s">
        <v>15</v>
      </c>
      <c r="C51" t="s">
        <v>22</v>
      </c>
      <c r="D51" t="s">
        <v>68</v>
      </c>
      <c r="E51">
        <v>15</v>
      </c>
      <c r="F51">
        <v>786</v>
      </c>
      <c r="G51">
        <v>479</v>
      </c>
      <c r="H51">
        <v>52.4</v>
      </c>
    </row>
    <row r="52" spans="1:8" x14ac:dyDescent="0.3">
      <c r="A52">
        <v>51</v>
      </c>
      <c r="B52" t="s">
        <v>21</v>
      </c>
      <c r="C52" t="s">
        <v>9</v>
      </c>
      <c r="D52" t="s">
        <v>66</v>
      </c>
      <c r="E52">
        <v>14</v>
      </c>
      <c r="F52">
        <v>655</v>
      </c>
      <c r="G52">
        <v>399</v>
      </c>
      <c r="H52">
        <v>46.785699999999999</v>
      </c>
    </row>
    <row r="53" spans="1:8" x14ac:dyDescent="0.3">
      <c r="A53">
        <v>52</v>
      </c>
      <c r="B53" t="s">
        <v>21</v>
      </c>
      <c r="C53" t="s">
        <v>28</v>
      </c>
      <c r="D53" t="s">
        <v>12</v>
      </c>
      <c r="E53">
        <v>20</v>
      </c>
      <c r="F53">
        <v>989</v>
      </c>
      <c r="G53">
        <v>603</v>
      </c>
      <c r="H53">
        <v>49.45</v>
      </c>
    </row>
    <row r="54" spans="1:8" x14ac:dyDescent="0.3">
      <c r="A54">
        <v>53</v>
      </c>
      <c r="B54" t="s">
        <v>21</v>
      </c>
      <c r="C54" t="s">
        <v>22</v>
      </c>
      <c r="D54" t="s">
        <v>69</v>
      </c>
      <c r="E54">
        <v>16</v>
      </c>
      <c r="F54">
        <v>722</v>
      </c>
      <c r="G54">
        <v>441</v>
      </c>
      <c r="H54">
        <v>45.125</v>
      </c>
    </row>
    <row r="55" spans="1:8" x14ac:dyDescent="0.3">
      <c r="A55">
        <v>54</v>
      </c>
      <c r="B55" t="s">
        <v>21</v>
      </c>
      <c r="C55" t="s">
        <v>16</v>
      </c>
      <c r="D55" t="s">
        <v>70</v>
      </c>
      <c r="E55">
        <v>17</v>
      </c>
      <c r="F55">
        <v>864</v>
      </c>
      <c r="G55">
        <v>527</v>
      </c>
      <c r="H55">
        <v>50.823500000000003</v>
      </c>
    </row>
    <row r="56" spans="1:8" x14ac:dyDescent="0.3">
      <c r="A56">
        <v>55</v>
      </c>
      <c r="B56" t="s">
        <v>27</v>
      </c>
      <c r="C56" t="s">
        <v>22</v>
      </c>
      <c r="D56" t="s">
        <v>71</v>
      </c>
      <c r="E56">
        <v>20</v>
      </c>
      <c r="F56">
        <v>999</v>
      </c>
      <c r="G56">
        <v>610</v>
      </c>
      <c r="H56">
        <v>49.95</v>
      </c>
    </row>
    <row r="57" spans="1:8" x14ac:dyDescent="0.3">
      <c r="A57">
        <v>56</v>
      </c>
      <c r="B57" t="s">
        <v>27</v>
      </c>
      <c r="C57" t="s">
        <v>28</v>
      </c>
      <c r="D57" t="s">
        <v>45</v>
      </c>
      <c r="E57">
        <v>15</v>
      </c>
      <c r="F57">
        <v>762</v>
      </c>
      <c r="G57">
        <v>465</v>
      </c>
      <c r="H57">
        <v>50.8</v>
      </c>
    </row>
    <row r="58" spans="1:8" x14ac:dyDescent="0.3">
      <c r="A58">
        <v>57</v>
      </c>
      <c r="B58" t="s">
        <v>27</v>
      </c>
      <c r="C58" t="s">
        <v>9</v>
      </c>
      <c r="D58" t="s">
        <v>72</v>
      </c>
      <c r="E58">
        <v>9</v>
      </c>
      <c r="F58">
        <v>127</v>
      </c>
      <c r="G58">
        <v>78</v>
      </c>
      <c r="H58">
        <v>14.1111</v>
      </c>
    </row>
    <row r="59" spans="1:8" x14ac:dyDescent="0.3">
      <c r="A59">
        <v>58</v>
      </c>
      <c r="B59" t="s">
        <v>27</v>
      </c>
      <c r="C59" t="s">
        <v>22</v>
      </c>
      <c r="D59" t="s">
        <v>52</v>
      </c>
      <c r="E59">
        <v>8</v>
      </c>
      <c r="F59">
        <v>164</v>
      </c>
      <c r="G59">
        <v>100</v>
      </c>
      <c r="H59">
        <v>20.5</v>
      </c>
    </row>
    <row r="60" spans="1:8" x14ac:dyDescent="0.3">
      <c r="A60">
        <v>59</v>
      </c>
      <c r="B60" t="s">
        <v>33</v>
      </c>
      <c r="C60" t="s">
        <v>28</v>
      </c>
      <c r="D60" t="s">
        <v>73</v>
      </c>
      <c r="E60">
        <v>14</v>
      </c>
      <c r="F60">
        <v>646</v>
      </c>
      <c r="G60">
        <v>394</v>
      </c>
      <c r="H60">
        <v>46.142899999999997</v>
      </c>
    </row>
    <row r="61" spans="1:8" x14ac:dyDescent="0.3">
      <c r="A61">
        <v>60</v>
      </c>
      <c r="B61" t="s">
        <v>33</v>
      </c>
      <c r="C61" t="s">
        <v>16</v>
      </c>
      <c r="D61" t="s">
        <v>74</v>
      </c>
      <c r="E61">
        <v>11</v>
      </c>
      <c r="F61">
        <v>294</v>
      </c>
      <c r="G61">
        <v>179</v>
      </c>
      <c r="H61">
        <v>26.7273</v>
      </c>
    </row>
    <row r="62" spans="1:8" x14ac:dyDescent="0.3">
      <c r="A62">
        <v>61</v>
      </c>
      <c r="B62" t="s">
        <v>33</v>
      </c>
      <c r="C62" t="s">
        <v>22</v>
      </c>
      <c r="D62" t="s">
        <v>57</v>
      </c>
      <c r="E62">
        <v>10</v>
      </c>
      <c r="F62">
        <v>223</v>
      </c>
      <c r="G62">
        <v>136</v>
      </c>
      <c r="H62">
        <v>22.3</v>
      </c>
    </row>
    <row r="63" spans="1:8" x14ac:dyDescent="0.3">
      <c r="A63">
        <v>62</v>
      </c>
      <c r="B63" t="s">
        <v>33</v>
      </c>
      <c r="C63" t="s">
        <v>28</v>
      </c>
      <c r="D63" t="s">
        <v>56</v>
      </c>
      <c r="E63">
        <v>15</v>
      </c>
      <c r="F63">
        <v>785</v>
      </c>
      <c r="G63">
        <v>480</v>
      </c>
      <c r="H63">
        <v>52.333300000000001</v>
      </c>
    </row>
    <row r="64" spans="1:8" x14ac:dyDescent="0.3">
      <c r="A64">
        <v>63</v>
      </c>
      <c r="B64" t="s">
        <v>38</v>
      </c>
      <c r="C64" t="s">
        <v>16</v>
      </c>
      <c r="D64" t="s">
        <v>75</v>
      </c>
      <c r="E64">
        <v>16</v>
      </c>
      <c r="F64">
        <v>777</v>
      </c>
      <c r="G64">
        <v>475</v>
      </c>
      <c r="H64">
        <v>48.5625</v>
      </c>
    </row>
    <row r="65" spans="1:8" x14ac:dyDescent="0.3">
      <c r="A65">
        <v>64</v>
      </c>
      <c r="B65" t="s">
        <v>38</v>
      </c>
      <c r="C65" t="s">
        <v>28</v>
      </c>
      <c r="D65" t="s">
        <v>76</v>
      </c>
      <c r="E65">
        <v>9</v>
      </c>
      <c r="F65">
        <v>144</v>
      </c>
      <c r="G65">
        <v>88</v>
      </c>
      <c r="H65">
        <v>16</v>
      </c>
    </row>
    <row r="66" spans="1:8" x14ac:dyDescent="0.3">
      <c r="A66">
        <v>65</v>
      </c>
      <c r="B66" t="s">
        <v>38</v>
      </c>
      <c r="C66" t="s">
        <v>9</v>
      </c>
      <c r="D66" t="s">
        <v>69</v>
      </c>
      <c r="E66">
        <v>18</v>
      </c>
      <c r="F66">
        <v>699</v>
      </c>
      <c r="G66">
        <v>426</v>
      </c>
      <c r="H66">
        <v>38.833300000000001</v>
      </c>
    </row>
    <row r="67" spans="1:8" x14ac:dyDescent="0.3">
      <c r="A67">
        <v>66</v>
      </c>
      <c r="B67" t="s">
        <v>38</v>
      </c>
      <c r="C67" t="s">
        <v>28</v>
      </c>
      <c r="D67" t="s">
        <v>77</v>
      </c>
      <c r="E67">
        <v>14</v>
      </c>
      <c r="F67">
        <v>665</v>
      </c>
      <c r="G67">
        <v>406</v>
      </c>
      <c r="H67">
        <v>47.5</v>
      </c>
    </row>
    <row r="68" spans="1:8" x14ac:dyDescent="0.3">
      <c r="A68">
        <v>67</v>
      </c>
      <c r="B68" t="s">
        <v>42</v>
      </c>
      <c r="C68" t="s">
        <v>22</v>
      </c>
      <c r="D68" t="s">
        <v>78</v>
      </c>
      <c r="E68">
        <v>10</v>
      </c>
      <c r="F68">
        <v>233</v>
      </c>
      <c r="G68">
        <v>142</v>
      </c>
      <c r="H68">
        <v>23.3</v>
      </c>
    </row>
    <row r="69" spans="1:8" x14ac:dyDescent="0.3">
      <c r="A69">
        <v>68</v>
      </c>
      <c r="B69" t="s">
        <v>42</v>
      </c>
      <c r="C69" t="s">
        <v>16</v>
      </c>
      <c r="D69" t="s">
        <v>79</v>
      </c>
      <c r="E69">
        <v>11</v>
      </c>
      <c r="F69">
        <v>356</v>
      </c>
      <c r="G69">
        <v>217</v>
      </c>
      <c r="H69">
        <v>32.363599999999998</v>
      </c>
    </row>
    <row r="70" spans="1:8" x14ac:dyDescent="0.3">
      <c r="A70">
        <v>69</v>
      </c>
      <c r="B70" t="s">
        <v>42</v>
      </c>
      <c r="C70" t="s">
        <v>9</v>
      </c>
      <c r="D70" t="s">
        <v>80</v>
      </c>
      <c r="E70">
        <v>16</v>
      </c>
      <c r="F70">
        <v>715</v>
      </c>
      <c r="G70">
        <v>436</v>
      </c>
      <c r="H70">
        <v>44.6875</v>
      </c>
    </row>
    <row r="71" spans="1:8" x14ac:dyDescent="0.3">
      <c r="A71">
        <v>70</v>
      </c>
      <c r="B71" t="s">
        <v>42</v>
      </c>
      <c r="C71" t="s">
        <v>28</v>
      </c>
      <c r="D71" t="s">
        <v>81</v>
      </c>
      <c r="E71">
        <v>18</v>
      </c>
      <c r="F71">
        <v>777</v>
      </c>
      <c r="G71">
        <v>475</v>
      </c>
      <c r="H71">
        <v>43.166699999999999</v>
      </c>
    </row>
    <row r="72" spans="1:8" x14ac:dyDescent="0.3">
      <c r="A72">
        <v>71</v>
      </c>
      <c r="B72" t="s">
        <v>50</v>
      </c>
      <c r="C72" t="s">
        <v>9</v>
      </c>
      <c r="D72" t="s">
        <v>82</v>
      </c>
      <c r="E72">
        <v>20</v>
      </c>
      <c r="F72">
        <v>988</v>
      </c>
      <c r="G72">
        <v>602</v>
      </c>
      <c r="H72">
        <v>49.4</v>
      </c>
    </row>
    <row r="73" spans="1:8" x14ac:dyDescent="0.3">
      <c r="A73">
        <v>72</v>
      </c>
      <c r="B73" t="s">
        <v>50</v>
      </c>
      <c r="C73" t="s">
        <v>22</v>
      </c>
      <c r="D73" t="s">
        <v>83</v>
      </c>
      <c r="E73">
        <v>16</v>
      </c>
      <c r="F73">
        <v>712</v>
      </c>
      <c r="G73">
        <v>434</v>
      </c>
      <c r="H73">
        <v>44.5</v>
      </c>
    </row>
    <row r="74" spans="1:8" x14ac:dyDescent="0.3">
      <c r="A74">
        <v>73</v>
      </c>
      <c r="B74" t="s">
        <v>50</v>
      </c>
      <c r="C74" t="s">
        <v>28</v>
      </c>
      <c r="D74" t="s">
        <v>84</v>
      </c>
      <c r="E74">
        <v>15</v>
      </c>
      <c r="F74">
        <v>798</v>
      </c>
      <c r="G74">
        <v>487</v>
      </c>
      <c r="H74">
        <v>53.2</v>
      </c>
    </row>
    <row r="75" spans="1:8" x14ac:dyDescent="0.3">
      <c r="A75">
        <v>74</v>
      </c>
      <c r="B75" t="s">
        <v>50</v>
      </c>
      <c r="C75" t="s">
        <v>16</v>
      </c>
      <c r="D75" t="s">
        <v>41</v>
      </c>
      <c r="E75">
        <v>10</v>
      </c>
      <c r="F75">
        <v>199</v>
      </c>
      <c r="G75">
        <v>121</v>
      </c>
      <c r="H75">
        <v>19.899999999999999</v>
      </c>
    </row>
    <row r="76" spans="1:8" x14ac:dyDescent="0.3">
      <c r="A76">
        <v>75</v>
      </c>
      <c r="B76" t="s">
        <v>46</v>
      </c>
      <c r="C76" t="s">
        <v>22</v>
      </c>
      <c r="D76" t="s">
        <v>85</v>
      </c>
      <c r="E76">
        <v>12</v>
      </c>
      <c r="F76">
        <v>478</v>
      </c>
      <c r="G76">
        <v>292</v>
      </c>
      <c r="H76">
        <v>39.833300000000001</v>
      </c>
    </row>
    <row r="77" spans="1:8" x14ac:dyDescent="0.3">
      <c r="A77">
        <v>76</v>
      </c>
      <c r="B77" t="s">
        <v>46</v>
      </c>
      <c r="C77" t="s">
        <v>9</v>
      </c>
      <c r="D77" t="s">
        <v>86</v>
      </c>
      <c r="E77">
        <v>9</v>
      </c>
      <c r="F77">
        <v>186</v>
      </c>
      <c r="G77">
        <v>113</v>
      </c>
      <c r="H77">
        <v>20.666699999999999</v>
      </c>
    </row>
    <row r="78" spans="1:8" x14ac:dyDescent="0.3">
      <c r="A78">
        <v>77</v>
      </c>
      <c r="B78" t="s">
        <v>46</v>
      </c>
      <c r="C78" t="s">
        <v>28</v>
      </c>
      <c r="D78" t="s">
        <v>87</v>
      </c>
      <c r="E78">
        <v>15</v>
      </c>
      <c r="F78">
        <v>761</v>
      </c>
      <c r="G78">
        <v>464</v>
      </c>
      <c r="H78">
        <v>50.7333</v>
      </c>
    </row>
    <row r="79" spans="1:8" x14ac:dyDescent="0.3">
      <c r="A79">
        <v>78</v>
      </c>
      <c r="B79" t="s">
        <v>46</v>
      </c>
      <c r="C79" t="s">
        <v>16</v>
      </c>
      <c r="D79" t="s">
        <v>66</v>
      </c>
      <c r="E79">
        <v>10</v>
      </c>
      <c r="F79">
        <v>288</v>
      </c>
      <c r="G79">
        <v>176</v>
      </c>
      <c r="H79">
        <v>28.8</v>
      </c>
    </row>
    <row r="80" spans="1:8" x14ac:dyDescent="0.3">
      <c r="A80">
        <v>79</v>
      </c>
      <c r="B80" t="s">
        <v>55</v>
      </c>
      <c r="C80" t="s">
        <v>28</v>
      </c>
      <c r="D80" t="s">
        <v>88</v>
      </c>
      <c r="E80">
        <v>18</v>
      </c>
      <c r="F80">
        <v>699</v>
      </c>
      <c r="G80">
        <v>426</v>
      </c>
      <c r="H80">
        <v>38.833300000000001</v>
      </c>
    </row>
    <row r="81" spans="1:8" x14ac:dyDescent="0.3">
      <c r="A81">
        <v>80</v>
      </c>
      <c r="B81" t="s">
        <v>55</v>
      </c>
      <c r="C81" t="s">
        <v>22</v>
      </c>
      <c r="D81" t="s">
        <v>89</v>
      </c>
      <c r="E81">
        <v>16</v>
      </c>
      <c r="F81">
        <v>777</v>
      </c>
      <c r="G81">
        <v>475</v>
      </c>
      <c r="H81">
        <v>48.5625</v>
      </c>
    </row>
    <row r="82" spans="1:8" x14ac:dyDescent="0.3">
      <c r="A82">
        <v>81</v>
      </c>
      <c r="B82" t="s">
        <v>55</v>
      </c>
      <c r="C82" t="s">
        <v>9</v>
      </c>
      <c r="D82" t="s">
        <v>30</v>
      </c>
      <c r="E82">
        <v>11</v>
      </c>
      <c r="F82">
        <v>355</v>
      </c>
      <c r="G82">
        <v>217</v>
      </c>
      <c r="H82">
        <v>32.2727</v>
      </c>
    </row>
    <row r="83" spans="1:8" x14ac:dyDescent="0.3">
      <c r="A83">
        <v>82</v>
      </c>
      <c r="B83" t="s">
        <v>55</v>
      </c>
      <c r="C83" t="s">
        <v>28</v>
      </c>
      <c r="D83" t="s">
        <v>90</v>
      </c>
      <c r="E83">
        <v>10</v>
      </c>
      <c r="F83">
        <v>233</v>
      </c>
      <c r="G83">
        <v>142</v>
      </c>
      <c r="H83">
        <v>23.3</v>
      </c>
    </row>
    <row r="84" spans="1:8" x14ac:dyDescent="0.3">
      <c r="A84">
        <v>83</v>
      </c>
      <c r="B84" t="s">
        <v>55</v>
      </c>
      <c r="C84" t="s">
        <v>22</v>
      </c>
      <c r="D84" t="s">
        <v>91</v>
      </c>
      <c r="E84">
        <v>16</v>
      </c>
      <c r="F84">
        <v>723</v>
      </c>
      <c r="G84">
        <v>441</v>
      </c>
      <c r="H84">
        <v>45.1875</v>
      </c>
    </row>
    <row r="85" spans="1:8" x14ac:dyDescent="0.3">
      <c r="A85">
        <v>84</v>
      </c>
      <c r="B85" t="s">
        <v>60</v>
      </c>
      <c r="C85" t="s">
        <v>28</v>
      </c>
      <c r="D85" t="s">
        <v>92</v>
      </c>
      <c r="E85">
        <v>19</v>
      </c>
      <c r="F85">
        <v>467</v>
      </c>
      <c r="G85">
        <v>285</v>
      </c>
      <c r="H85">
        <v>24.578900000000001</v>
      </c>
    </row>
    <row r="86" spans="1:8" x14ac:dyDescent="0.3">
      <c r="A86">
        <v>85</v>
      </c>
      <c r="B86" t="s">
        <v>15</v>
      </c>
      <c r="C86" t="s">
        <v>16</v>
      </c>
      <c r="D86" t="s">
        <v>93</v>
      </c>
      <c r="E86">
        <v>11</v>
      </c>
      <c r="F86">
        <v>366</v>
      </c>
      <c r="G86">
        <v>223</v>
      </c>
      <c r="H86">
        <v>33.2727</v>
      </c>
    </row>
    <row r="87" spans="1:8" x14ac:dyDescent="0.3">
      <c r="A87">
        <v>86</v>
      </c>
      <c r="B87" t="s">
        <v>21</v>
      </c>
      <c r="C87" t="s">
        <v>9</v>
      </c>
      <c r="D87" t="s">
        <v>86</v>
      </c>
      <c r="E87">
        <v>10</v>
      </c>
      <c r="F87">
        <v>267</v>
      </c>
      <c r="G87">
        <v>163</v>
      </c>
      <c r="H87">
        <v>26.7</v>
      </c>
    </row>
    <row r="88" spans="1:8" x14ac:dyDescent="0.3">
      <c r="A88">
        <v>87</v>
      </c>
      <c r="B88" t="s">
        <v>27</v>
      </c>
      <c r="C88" t="s">
        <v>22</v>
      </c>
      <c r="D88" t="s">
        <v>94</v>
      </c>
      <c r="E88">
        <v>15</v>
      </c>
      <c r="F88">
        <v>789</v>
      </c>
      <c r="G88">
        <v>480</v>
      </c>
      <c r="H88">
        <v>52.6</v>
      </c>
    </row>
    <row r="89" spans="1:8" x14ac:dyDescent="0.3">
      <c r="A89">
        <v>88</v>
      </c>
      <c r="B89" t="s">
        <v>50</v>
      </c>
      <c r="C89" t="s">
        <v>28</v>
      </c>
      <c r="D89" t="s">
        <v>62</v>
      </c>
      <c r="E89">
        <v>14</v>
      </c>
      <c r="F89">
        <v>655</v>
      </c>
      <c r="G89">
        <v>399</v>
      </c>
      <c r="H89">
        <v>46.785699999999999</v>
      </c>
    </row>
    <row r="90" spans="1:8" x14ac:dyDescent="0.3">
      <c r="A90">
        <v>89</v>
      </c>
      <c r="B90" t="s">
        <v>38</v>
      </c>
      <c r="C90" t="s">
        <v>22</v>
      </c>
      <c r="D90" t="s">
        <v>56</v>
      </c>
      <c r="E90">
        <v>10</v>
      </c>
      <c r="F90">
        <v>223</v>
      </c>
      <c r="G90">
        <v>136</v>
      </c>
      <c r="H90">
        <v>22.3</v>
      </c>
    </row>
    <row r="91" spans="1:8" x14ac:dyDescent="0.3">
      <c r="A91">
        <v>90</v>
      </c>
      <c r="B91" t="s">
        <v>33</v>
      </c>
      <c r="C91" t="s">
        <v>16</v>
      </c>
      <c r="D91" t="s">
        <v>95</v>
      </c>
      <c r="E91">
        <v>9</v>
      </c>
      <c r="F91">
        <v>192</v>
      </c>
      <c r="G91">
        <v>117</v>
      </c>
      <c r="H91">
        <v>21.333300000000001</v>
      </c>
    </row>
    <row r="92" spans="1:8" x14ac:dyDescent="0.3">
      <c r="A92">
        <v>91</v>
      </c>
      <c r="B92" t="s">
        <v>42</v>
      </c>
      <c r="C92" t="s">
        <v>9</v>
      </c>
      <c r="D92" t="s">
        <v>96</v>
      </c>
      <c r="E92">
        <v>12</v>
      </c>
      <c r="F92">
        <v>326</v>
      </c>
      <c r="G92">
        <v>199</v>
      </c>
      <c r="H92">
        <v>27.166699999999999</v>
      </c>
    </row>
    <row r="93" spans="1:8" x14ac:dyDescent="0.3">
      <c r="A93">
        <v>92</v>
      </c>
      <c r="B93" t="s">
        <v>46</v>
      </c>
      <c r="C93" t="s">
        <v>28</v>
      </c>
      <c r="D93" t="s">
        <v>70</v>
      </c>
      <c r="E93">
        <v>18</v>
      </c>
      <c r="F93">
        <v>499</v>
      </c>
      <c r="G93">
        <v>305</v>
      </c>
      <c r="H93">
        <v>27.722200000000001</v>
      </c>
    </row>
    <row r="94" spans="1:8" x14ac:dyDescent="0.3">
      <c r="A94">
        <v>93</v>
      </c>
      <c r="B94" t="s">
        <v>55</v>
      </c>
      <c r="C94" t="s">
        <v>22</v>
      </c>
      <c r="D94" t="s">
        <v>51</v>
      </c>
      <c r="E94">
        <v>21</v>
      </c>
      <c r="F94">
        <v>633</v>
      </c>
      <c r="G94">
        <v>385</v>
      </c>
      <c r="H94">
        <v>30.142900000000001</v>
      </c>
    </row>
    <row r="95" spans="1:8" x14ac:dyDescent="0.3">
      <c r="A95">
        <v>94</v>
      </c>
      <c r="B95" t="s">
        <v>60</v>
      </c>
      <c r="C95" t="s">
        <v>28</v>
      </c>
      <c r="D95" t="s">
        <v>97</v>
      </c>
      <c r="E95">
        <v>13</v>
      </c>
      <c r="F95">
        <v>432</v>
      </c>
      <c r="G95">
        <v>263</v>
      </c>
      <c r="H95">
        <v>33.230800000000002</v>
      </c>
    </row>
    <row r="96" spans="1:8" x14ac:dyDescent="0.3">
      <c r="A96">
        <v>95</v>
      </c>
      <c r="B96" t="s">
        <v>15</v>
      </c>
      <c r="C96" t="s">
        <v>22</v>
      </c>
      <c r="D96" t="s">
        <v>98</v>
      </c>
      <c r="E96">
        <v>14</v>
      </c>
      <c r="F96">
        <v>655</v>
      </c>
      <c r="G96">
        <v>399</v>
      </c>
      <c r="H96">
        <v>46.785699999999999</v>
      </c>
    </row>
    <row r="97" spans="1:8" x14ac:dyDescent="0.3">
      <c r="A97">
        <v>96</v>
      </c>
      <c r="B97" t="s">
        <v>21</v>
      </c>
      <c r="C97" t="s">
        <v>9</v>
      </c>
      <c r="D97" t="s">
        <v>99</v>
      </c>
      <c r="E97">
        <v>15</v>
      </c>
      <c r="F97">
        <v>785</v>
      </c>
      <c r="G97">
        <v>480</v>
      </c>
      <c r="H97">
        <v>52.333300000000001</v>
      </c>
    </row>
    <row r="98" spans="1:8" x14ac:dyDescent="0.3">
      <c r="A98">
        <v>97</v>
      </c>
      <c r="B98" t="s">
        <v>27</v>
      </c>
      <c r="C98" t="s">
        <v>28</v>
      </c>
      <c r="D98" t="s">
        <v>10</v>
      </c>
      <c r="E98">
        <v>9</v>
      </c>
      <c r="F98">
        <v>147</v>
      </c>
      <c r="G98">
        <v>90</v>
      </c>
      <c r="H98">
        <v>16.333300000000001</v>
      </c>
    </row>
    <row r="99" spans="1:8" x14ac:dyDescent="0.3">
      <c r="A99">
        <v>98</v>
      </c>
      <c r="B99" t="s">
        <v>50</v>
      </c>
      <c r="C99" t="s">
        <v>9</v>
      </c>
      <c r="D99" t="s">
        <v>100</v>
      </c>
      <c r="E99">
        <v>17</v>
      </c>
      <c r="F99">
        <v>864</v>
      </c>
      <c r="G99">
        <v>527</v>
      </c>
      <c r="H99">
        <v>50.823500000000003</v>
      </c>
    </row>
    <row r="100" spans="1:8" x14ac:dyDescent="0.3">
      <c r="A100">
        <v>99</v>
      </c>
      <c r="B100" t="s">
        <v>38</v>
      </c>
      <c r="C100" t="s">
        <v>28</v>
      </c>
      <c r="D100" t="s">
        <v>71</v>
      </c>
      <c r="E100">
        <v>20</v>
      </c>
      <c r="F100">
        <v>999</v>
      </c>
      <c r="G100">
        <v>610</v>
      </c>
      <c r="H100">
        <v>49.95</v>
      </c>
    </row>
    <row r="101" spans="1:8" x14ac:dyDescent="0.3">
      <c r="A101">
        <v>100</v>
      </c>
      <c r="B101" t="s">
        <v>33</v>
      </c>
      <c r="C101" t="s">
        <v>16</v>
      </c>
      <c r="D101" t="s">
        <v>40</v>
      </c>
      <c r="E101">
        <v>16</v>
      </c>
      <c r="F101">
        <v>722</v>
      </c>
      <c r="G101">
        <v>441</v>
      </c>
      <c r="H101">
        <v>45.125</v>
      </c>
    </row>
    <row r="102" spans="1:8" x14ac:dyDescent="0.3">
      <c r="A102">
        <v>101</v>
      </c>
      <c r="B102" t="s">
        <v>42</v>
      </c>
      <c r="C102" t="s">
        <v>9</v>
      </c>
      <c r="D102" t="s">
        <v>52</v>
      </c>
      <c r="E102">
        <v>8</v>
      </c>
      <c r="F102">
        <v>125</v>
      </c>
      <c r="G102">
        <v>76</v>
      </c>
      <c r="H102">
        <v>15.625</v>
      </c>
    </row>
    <row r="103" spans="1:8" x14ac:dyDescent="0.3">
      <c r="A103">
        <v>102</v>
      </c>
      <c r="B103" t="s">
        <v>46</v>
      </c>
      <c r="C103" t="s">
        <v>28</v>
      </c>
      <c r="D103" t="s">
        <v>66</v>
      </c>
      <c r="E103">
        <v>16</v>
      </c>
      <c r="F103">
        <v>777</v>
      </c>
      <c r="G103">
        <v>475</v>
      </c>
      <c r="H103">
        <v>48.5625</v>
      </c>
    </row>
    <row r="104" spans="1:8" x14ac:dyDescent="0.3">
      <c r="A104">
        <v>103</v>
      </c>
      <c r="B104" t="s">
        <v>55</v>
      </c>
      <c r="C104" t="s">
        <v>22</v>
      </c>
      <c r="D104" t="s">
        <v>59</v>
      </c>
      <c r="E104">
        <v>12</v>
      </c>
      <c r="F104">
        <v>342</v>
      </c>
      <c r="G104">
        <v>209</v>
      </c>
      <c r="H104">
        <v>28.5</v>
      </c>
    </row>
    <row r="105" spans="1:8" x14ac:dyDescent="0.3">
      <c r="A105">
        <v>104</v>
      </c>
      <c r="B105" t="s">
        <v>60</v>
      </c>
      <c r="C105" t="s">
        <v>16</v>
      </c>
      <c r="D105" t="s">
        <v>61</v>
      </c>
      <c r="E105">
        <v>13</v>
      </c>
      <c r="F105">
        <v>453</v>
      </c>
      <c r="G105">
        <v>276</v>
      </c>
      <c r="H105">
        <v>34.846200000000003</v>
      </c>
    </row>
    <row r="106" spans="1:8" x14ac:dyDescent="0.3">
      <c r="A106">
        <v>105</v>
      </c>
      <c r="B106" t="s">
        <v>15</v>
      </c>
      <c r="C106" t="s">
        <v>22</v>
      </c>
      <c r="D106" t="s">
        <v>44</v>
      </c>
      <c r="E106">
        <v>10</v>
      </c>
      <c r="F106">
        <v>238</v>
      </c>
      <c r="G106">
        <v>145</v>
      </c>
      <c r="H106">
        <v>23.8</v>
      </c>
    </row>
    <row r="107" spans="1:8" x14ac:dyDescent="0.3">
      <c r="A107">
        <v>106</v>
      </c>
      <c r="B107" t="s">
        <v>21</v>
      </c>
      <c r="C107" t="s">
        <v>9</v>
      </c>
      <c r="D107" t="s">
        <v>67</v>
      </c>
      <c r="E107">
        <v>19</v>
      </c>
      <c r="F107">
        <v>468</v>
      </c>
      <c r="G107">
        <v>286</v>
      </c>
      <c r="H107">
        <v>24.631599999999999</v>
      </c>
    </row>
    <row r="108" spans="1:8" x14ac:dyDescent="0.3">
      <c r="A108">
        <v>107</v>
      </c>
      <c r="B108" t="s">
        <v>27</v>
      </c>
      <c r="C108" t="s">
        <v>28</v>
      </c>
      <c r="D108" t="s">
        <v>74</v>
      </c>
      <c r="E108">
        <v>11</v>
      </c>
      <c r="F108">
        <v>356</v>
      </c>
      <c r="G108">
        <v>217</v>
      </c>
      <c r="H108">
        <v>32.363599999999998</v>
      </c>
    </row>
    <row r="109" spans="1:8" x14ac:dyDescent="0.3">
      <c r="A109">
        <v>108</v>
      </c>
      <c r="B109" t="s">
        <v>50</v>
      </c>
      <c r="C109" t="s">
        <v>9</v>
      </c>
      <c r="D109" t="s">
        <v>45</v>
      </c>
      <c r="E109">
        <v>17</v>
      </c>
      <c r="F109">
        <v>799</v>
      </c>
      <c r="G109">
        <v>488</v>
      </c>
      <c r="H109">
        <v>47</v>
      </c>
    </row>
    <row r="110" spans="1:8" x14ac:dyDescent="0.3">
      <c r="A110">
        <v>109</v>
      </c>
      <c r="B110" t="s">
        <v>38</v>
      </c>
      <c r="C110" t="s">
        <v>28</v>
      </c>
      <c r="D110" t="s">
        <v>73</v>
      </c>
      <c r="E110">
        <v>15</v>
      </c>
      <c r="F110">
        <v>789</v>
      </c>
      <c r="G110">
        <v>480</v>
      </c>
      <c r="H110">
        <v>52.6</v>
      </c>
    </row>
    <row r="111" spans="1:8" x14ac:dyDescent="0.3">
      <c r="A111">
        <v>110</v>
      </c>
      <c r="B111" t="s">
        <v>33</v>
      </c>
      <c r="C111" t="s">
        <v>9</v>
      </c>
      <c r="D111" t="s">
        <v>53</v>
      </c>
      <c r="E111">
        <v>8</v>
      </c>
      <c r="F111">
        <v>156</v>
      </c>
      <c r="G111">
        <v>95</v>
      </c>
      <c r="H111">
        <v>19.5</v>
      </c>
    </row>
    <row r="112" spans="1:8" x14ac:dyDescent="0.3">
      <c r="A112">
        <v>111</v>
      </c>
      <c r="B112" t="s">
        <v>42</v>
      </c>
      <c r="C112" t="s">
        <v>22</v>
      </c>
      <c r="D112" t="s">
        <v>69</v>
      </c>
      <c r="E112">
        <v>14</v>
      </c>
      <c r="F112">
        <v>655</v>
      </c>
      <c r="G112">
        <v>399</v>
      </c>
      <c r="H112">
        <v>46.785699999999999</v>
      </c>
    </row>
    <row r="113" spans="1:8" x14ac:dyDescent="0.3">
      <c r="A113">
        <v>112</v>
      </c>
      <c r="B113" t="s">
        <v>46</v>
      </c>
      <c r="C113" t="s">
        <v>22</v>
      </c>
      <c r="D113" t="s">
        <v>57</v>
      </c>
      <c r="E113">
        <v>10</v>
      </c>
      <c r="F113">
        <v>239</v>
      </c>
      <c r="G113">
        <v>146</v>
      </c>
      <c r="H113">
        <v>23.9</v>
      </c>
    </row>
    <row r="114" spans="1:8" x14ac:dyDescent="0.3">
      <c r="A114">
        <v>113</v>
      </c>
      <c r="B114" t="s">
        <v>55</v>
      </c>
      <c r="C114" t="s">
        <v>28</v>
      </c>
      <c r="D114" t="s">
        <v>68</v>
      </c>
      <c r="E114">
        <v>16</v>
      </c>
      <c r="F114">
        <v>745</v>
      </c>
      <c r="G114">
        <v>454</v>
      </c>
      <c r="H114">
        <v>46.5625</v>
      </c>
    </row>
    <row r="115" spans="1:8" x14ac:dyDescent="0.3">
      <c r="A115">
        <v>114</v>
      </c>
      <c r="B115" t="s">
        <v>60</v>
      </c>
      <c r="C115" t="s">
        <v>16</v>
      </c>
      <c r="D115" t="s">
        <v>66</v>
      </c>
      <c r="E115">
        <v>19</v>
      </c>
      <c r="F115">
        <v>489</v>
      </c>
      <c r="G115">
        <v>298</v>
      </c>
      <c r="H115">
        <v>25.736799999999999</v>
      </c>
    </row>
    <row r="116" spans="1:8" x14ac:dyDescent="0.3">
      <c r="A116">
        <v>115</v>
      </c>
      <c r="B116" t="s">
        <v>15</v>
      </c>
      <c r="C116" t="s">
        <v>22</v>
      </c>
      <c r="D116" t="s">
        <v>66</v>
      </c>
      <c r="E116">
        <v>9</v>
      </c>
      <c r="F116">
        <v>194</v>
      </c>
      <c r="G116">
        <v>118</v>
      </c>
      <c r="H116">
        <v>21.555599999999998</v>
      </c>
    </row>
    <row r="117" spans="1:8" x14ac:dyDescent="0.3">
      <c r="A117">
        <v>116</v>
      </c>
      <c r="B117" t="s">
        <v>21</v>
      </c>
      <c r="C117" t="s">
        <v>9</v>
      </c>
      <c r="D117" t="s">
        <v>101</v>
      </c>
      <c r="E117">
        <v>15</v>
      </c>
      <c r="F117">
        <v>786</v>
      </c>
      <c r="G117">
        <v>479</v>
      </c>
      <c r="H117">
        <v>52.4</v>
      </c>
    </row>
    <row r="118" spans="1:8" x14ac:dyDescent="0.3">
      <c r="A118">
        <v>117</v>
      </c>
      <c r="B118" t="s">
        <v>27</v>
      </c>
      <c r="C118" t="s">
        <v>28</v>
      </c>
      <c r="D118" t="s">
        <v>54</v>
      </c>
      <c r="E118">
        <v>10</v>
      </c>
      <c r="F118">
        <v>219</v>
      </c>
      <c r="G118">
        <v>133</v>
      </c>
      <c r="H118">
        <v>21.9</v>
      </c>
    </row>
    <row r="119" spans="1:8" x14ac:dyDescent="0.3">
      <c r="A119">
        <v>118</v>
      </c>
      <c r="B119" t="s">
        <v>50</v>
      </c>
      <c r="C119" t="s">
        <v>9</v>
      </c>
      <c r="D119" t="s">
        <v>82</v>
      </c>
      <c r="E119">
        <v>17</v>
      </c>
      <c r="F119">
        <v>765</v>
      </c>
      <c r="G119">
        <v>466</v>
      </c>
      <c r="H119">
        <v>45</v>
      </c>
    </row>
    <row r="120" spans="1:8" x14ac:dyDescent="0.3">
      <c r="A120">
        <v>119</v>
      </c>
      <c r="B120" t="s">
        <v>38</v>
      </c>
      <c r="C120" t="s">
        <v>28</v>
      </c>
      <c r="D120" t="s">
        <v>80</v>
      </c>
      <c r="E120">
        <v>12</v>
      </c>
      <c r="F120">
        <v>333</v>
      </c>
      <c r="G120">
        <v>203</v>
      </c>
      <c r="H120">
        <v>27.75</v>
      </c>
    </row>
    <row r="121" spans="1:8" x14ac:dyDescent="0.3">
      <c r="A121">
        <v>120</v>
      </c>
      <c r="B121" t="s">
        <v>33</v>
      </c>
      <c r="C121" t="s">
        <v>9</v>
      </c>
      <c r="D121" t="s">
        <v>81</v>
      </c>
      <c r="E121">
        <v>15</v>
      </c>
      <c r="F121">
        <v>789</v>
      </c>
      <c r="G121">
        <v>480</v>
      </c>
      <c r="H121">
        <v>52.6</v>
      </c>
    </row>
    <row r="122" spans="1:8" x14ac:dyDescent="0.3">
      <c r="A122">
        <v>121</v>
      </c>
      <c r="B122" t="s">
        <v>42</v>
      </c>
      <c r="C122" t="s">
        <v>22</v>
      </c>
      <c r="D122" t="s">
        <v>78</v>
      </c>
      <c r="E122">
        <v>9</v>
      </c>
      <c r="F122">
        <v>127</v>
      </c>
      <c r="G122">
        <v>77</v>
      </c>
      <c r="H122">
        <v>14.1111</v>
      </c>
    </row>
    <row r="123" spans="1:8" x14ac:dyDescent="0.3">
      <c r="A123">
        <v>122</v>
      </c>
      <c r="B123" t="s">
        <v>46</v>
      </c>
      <c r="C123" t="s">
        <v>28</v>
      </c>
      <c r="D123" t="s">
        <v>77</v>
      </c>
      <c r="E123">
        <v>14</v>
      </c>
      <c r="F123">
        <v>655</v>
      </c>
      <c r="G123">
        <v>399</v>
      </c>
      <c r="H123">
        <v>46.785699999999999</v>
      </c>
    </row>
    <row r="124" spans="1:8" x14ac:dyDescent="0.3">
      <c r="A124">
        <v>123</v>
      </c>
      <c r="B124" t="s">
        <v>55</v>
      </c>
      <c r="C124" t="s">
        <v>28</v>
      </c>
      <c r="D124" t="s">
        <v>69</v>
      </c>
      <c r="E124">
        <v>10</v>
      </c>
      <c r="F124">
        <v>225</v>
      </c>
      <c r="G124">
        <v>137</v>
      </c>
      <c r="H124">
        <v>22.5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866B-F190-4D95-A7B3-E1792157EEDB}">
  <dimension ref="A2:A47"/>
  <sheetViews>
    <sheetView topLeftCell="A28" workbookViewId="0">
      <selection activeCell="A47" sqref="A47"/>
    </sheetView>
  </sheetViews>
  <sheetFormatPr defaultRowHeight="14.4" x14ac:dyDescent="0.3"/>
  <cols>
    <col min="1" max="1" width="63.21875" style="3" bestFit="1" customWidth="1"/>
    <col min="5" max="6" width="11.77734375" bestFit="1" customWidth="1"/>
  </cols>
  <sheetData>
    <row r="2" spans="1:1" x14ac:dyDescent="0.3">
      <c r="A2" s="1" t="s">
        <v>102</v>
      </c>
    </row>
    <row r="3" spans="1:1" x14ac:dyDescent="0.3">
      <c r="A3" s="2"/>
    </row>
    <row r="4" spans="1:1" x14ac:dyDescent="0.3">
      <c r="A4" s="2" t="s">
        <v>103</v>
      </c>
    </row>
    <row r="5" spans="1:1" x14ac:dyDescent="0.3">
      <c r="A5" s="2"/>
    </row>
    <row r="6" spans="1:1" x14ac:dyDescent="0.3">
      <c r="A6" s="2" t="s">
        <v>104</v>
      </c>
    </row>
    <row r="7" spans="1:1" x14ac:dyDescent="0.3">
      <c r="A7" s="2"/>
    </row>
    <row r="8" spans="1:1" x14ac:dyDescent="0.3">
      <c r="A8" s="2" t="s">
        <v>105</v>
      </c>
    </row>
    <row r="9" spans="1:1" x14ac:dyDescent="0.3">
      <c r="A9" s="2"/>
    </row>
    <row r="10" spans="1:1" x14ac:dyDescent="0.3">
      <c r="A10" s="2" t="s">
        <v>106</v>
      </c>
    </row>
    <row r="11" spans="1:1" x14ac:dyDescent="0.3">
      <c r="A11" s="2"/>
    </row>
    <row r="12" spans="1:1" x14ac:dyDescent="0.3">
      <c r="A12" s="2" t="s">
        <v>107</v>
      </c>
    </row>
    <row r="13" spans="1:1" x14ac:dyDescent="0.3">
      <c r="A13" s="2"/>
    </row>
    <row r="14" spans="1:1" x14ac:dyDescent="0.3">
      <c r="A14" s="2" t="s">
        <v>108</v>
      </c>
    </row>
    <row r="15" spans="1:1" x14ac:dyDescent="0.3">
      <c r="A15" s="2"/>
    </row>
    <row r="16" spans="1:1" x14ac:dyDescent="0.3">
      <c r="A16" s="2" t="s">
        <v>109</v>
      </c>
    </row>
    <row r="17" spans="1:1" x14ac:dyDescent="0.3">
      <c r="A17" s="2"/>
    </row>
    <row r="18" spans="1:1" x14ac:dyDescent="0.3">
      <c r="A18" s="2" t="s">
        <v>110</v>
      </c>
    </row>
    <row r="20" spans="1:1" x14ac:dyDescent="0.3">
      <c r="A20" s="4" t="s">
        <v>111</v>
      </c>
    </row>
    <row r="21" spans="1:1" x14ac:dyDescent="0.3">
      <c r="A21" s="4" t="s">
        <v>112</v>
      </c>
    </row>
    <row r="22" spans="1:1" x14ac:dyDescent="0.3">
      <c r="A22" s="4" t="s">
        <v>113</v>
      </c>
    </row>
    <row r="23" spans="1:1" x14ac:dyDescent="0.3">
      <c r="A23" s="4" t="s">
        <v>114</v>
      </c>
    </row>
    <row r="24" spans="1:1" x14ac:dyDescent="0.3">
      <c r="A24" s="4" t="s">
        <v>115</v>
      </c>
    </row>
    <row r="25" spans="1:1" x14ac:dyDescent="0.3">
      <c r="A25" s="4" t="s">
        <v>116</v>
      </c>
    </row>
    <row r="26" spans="1:1" x14ac:dyDescent="0.3">
      <c r="A26" s="4" t="s">
        <v>117</v>
      </c>
    </row>
    <row r="27" spans="1:1" x14ac:dyDescent="0.3">
      <c r="A27" s="4" t="s">
        <v>118</v>
      </c>
    </row>
    <row r="28" spans="1:1" x14ac:dyDescent="0.3">
      <c r="A28" s="4" t="s">
        <v>119</v>
      </c>
    </row>
    <row r="29" spans="1:1" x14ac:dyDescent="0.3">
      <c r="A29" s="4" t="s">
        <v>120</v>
      </c>
    </row>
    <row r="30" spans="1:1" x14ac:dyDescent="0.3">
      <c r="A30" s="4" t="s">
        <v>121</v>
      </c>
    </row>
    <row r="31" spans="1:1" x14ac:dyDescent="0.3">
      <c r="A31" s="4" t="s">
        <v>122</v>
      </c>
    </row>
    <row r="33" spans="1:1" x14ac:dyDescent="0.3">
      <c r="A33" s="3" t="s">
        <v>123</v>
      </c>
    </row>
    <row r="34" spans="1:1" x14ac:dyDescent="0.3">
      <c r="A34" s="3" t="s">
        <v>124</v>
      </c>
    </row>
    <row r="35" spans="1:1" x14ac:dyDescent="0.3">
      <c r="A35" s="3" t="s">
        <v>125</v>
      </c>
    </row>
    <row r="36" spans="1:1" x14ac:dyDescent="0.3">
      <c r="A36" s="3" t="s">
        <v>126</v>
      </c>
    </row>
    <row r="37" spans="1:1" x14ac:dyDescent="0.3">
      <c r="A37" s="3" t="s">
        <v>127</v>
      </c>
    </row>
    <row r="38" spans="1:1" x14ac:dyDescent="0.3">
      <c r="A38" s="3" t="s">
        <v>129</v>
      </c>
    </row>
    <row r="39" spans="1:1" x14ac:dyDescent="0.3">
      <c r="A39" s="3" t="s">
        <v>130</v>
      </c>
    </row>
    <row r="40" spans="1:1" x14ac:dyDescent="0.3">
      <c r="A40" s="3" t="s">
        <v>131</v>
      </c>
    </row>
    <row r="41" spans="1:1" x14ac:dyDescent="0.3">
      <c r="A41" s="3" t="s">
        <v>132</v>
      </c>
    </row>
    <row r="42" spans="1:1" x14ac:dyDescent="0.3">
      <c r="A42" s="3" t="s">
        <v>133</v>
      </c>
    </row>
    <row r="43" spans="1:1" x14ac:dyDescent="0.3">
      <c r="A43" s="3" t="s">
        <v>134</v>
      </c>
    </row>
    <row r="44" spans="1:1" x14ac:dyDescent="0.3">
      <c r="A44" s="3" t="s">
        <v>135</v>
      </c>
    </row>
    <row r="45" spans="1:1" x14ac:dyDescent="0.3">
      <c r="A45" s="3" t="s">
        <v>136</v>
      </c>
    </row>
    <row r="46" spans="1:1" x14ac:dyDescent="0.3">
      <c r="A46" s="3" t="s">
        <v>128</v>
      </c>
    </row>
    <row r="47" spans="1:1" x14ac:dyDescent="0.3">
      <c r="A47" s="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4F0C-99B2-4EC7-9B2D-FDA1DA773C99}">
  <dimension ref="A1:CF363"/>
  <sheetViews>
    <sheetView tabSelected="1" topLeftCell="A346" workbookViewId="0">
      <selection activeCell="D365" sqref="D365"/>
    </sheetView>
  </sheetViews>
  <sheetFormatPr defaultRowHeight="14.4" x14ac:dyDescent="0.3"/>
  <cols>
    <col min="2" max="3" width="12.5546875" bestFit="1" customWidth="1"/>
    <col min="4" max="4" width="11.5546875" bestFit="1" customWidth="1"/>
    <col min="5" max="5" width="5.88671875" bestFit="1" customWidth="1"/>
    <col min="6" max="7" width="6" bestFit="1" customWidth="1"/>
    <col min="8" max="8" width="10.77734375" bestFit="1" customWidth="1"/>
    <col min="9" max="9" width="9.21875" bestFit="1" customWidth="1"/>
    <col min="10" max="11" width="5" bestFit="1" customWidth="1"/>
    <col min="12" max="12" width="7.44140625" bestFit="1" customWidth="1"/>
    <col min="13" max="13" width="5.44140625" bestFit="1" customWidth="1"/>
    <col min="14" max="14" width="12" bestFit="1" customWidth="1"/>
    <col min="15" max="15" width="7" bestFit="1" customWidth="1"/>
    <col min="16" max="16" width="5.44140625" bestFit="1" customWidth="1"/>
    <col min="17" max="17" width="8.21875" bestFit="1" customWidth="1"/>
    <col min="18" max="18" width="7.109375" bestFit="1" customWidth="1"/>
    <col min="19" max="19" width="6.109375" bestFit="1" customWidth="1"/>
    <col min="20" max="20" width="5" bestFit="1" customWidth="1"/>
    <col min="21" max="21" width="6.5546875" bestFit="1" customWidth="1"/>
    <col min="22" max="22" width="5.109375" bestFit="1" customWidth="1"/>
    <col min="23" max="23" width="6.21875" bestFit="1" customWidth="1"/>
    <col min="24" max="24" width="12" bestFit="1" customWidth="1"/>
    <col min="25" max="25" width="5.6640625" bestFit="1" customWidth="1"/>
    <col min="26" max="26" width="4.6640625" bestFit="1" customWidth="1"/>
    <col min="27" max="27" width="5.77734375" bestFit="1" customWidth="1"/>
    <col min="28" max="28" width="6.21875" bestFit="1" customWidth="1"/>
    <col min="29" max="29" width="6.77734375" bestFit="1" customWidth="1"/>
    <col min="30" max="30" width="12" bestFit="1" customWidth="1"/>
    <col min="31" max="31" width="6.109375" bestFit="1" customWidth="1"/>
    <col min="32" max="32" width="5.33203125" bestFit="1" customWidth="1"/>
    <col min="33" max="33" width="5" bestFit="1" customWidth="1"/>
    <col min="34" max="34" width="6.33203125" bestFit="1" customWidth="1"/>
    <col min="35" max="35" width="5.109375" bestFit="1" customWidth="1"/>
    <col min="36" max="36" width="4.33203125" bestFit="1" customWidth="1"/>
    <col min="37" max="37" width="6.77734375" bestFit="1" customWidth="1"/>
    <col min="38" max="38" width="7.21875" bestFit="1" customWidth="1"/>
    <col min="39" max="39" width="6.5546875" bestFit="1" customWidth="1"/>
    <col min="40" max="40" width="12" bestFit="1" customWidth="1"/>
    <col min="41" max="41" width="6.44140625" bestFit="1" customWidth="1"/>
    <col min="42" max="42" width="7.44140625" bestFit="1" customWidth="1"/>
    <col min="43" max="43" width="7.77734375" bestFit="1" customWidth="1"/>
    <col min="44" max="44" width="7.5546875" bestFit="1" customWidth="1"/>
    <col min="45" max="46" width="7.44140625" bestFit="1" customWidth="1"/>
    <col min="47" max="47" width="5.44140625" bestFit="1" customWidth="1"/>
    <col min="48" max="48" width="5.6640625" bestFit="1" customWidth="1"/>
    <col min="49" max="49" width="6.88671875" bestFit="1" customWidth="1"/>
    <col min="50" max="50" width="7.88671875" bestFit="1" customWidth="1"/>
    <col min="51" max="51" width="5.88671875" bestFit="1" customWidth="1"/>
    <col min="52" max="52" width="5.21875" bestFit="1" customWidth="1"/>
    <col min="53" max="53" width="12" bestFit="1" customWidth="1"/>
    <col min="54" max="54" width="3.6640625" bestFit="1" customWidth="1"/>
    <col min="55" max="55" width="5.33203125" bestFit="1" customWidth="1"/>
    <col min="56" max="56" width="12" bestFit="1" customWidth="1"/>
    <col min="57" max="57" width="5.109375" bestFit="1" customWidth="1"/>
    <col min="58" max="58" width="7.6640625" bestFit="1" customWidth="1"/>
    <col min="59" max="59" width="4.88671875" bestFit="1" customWidth="1"/>
    <col min="60" max="60" width="6.44140625" bestFit="1" customWidth="1"/>
    <col min="61" max="61" width="6.33203125" bestFit="1" customWidth="1"/>
    <col min="62" max="62" width="5.44140625" bestFit="1" customWidth="1"/>
    <col min="63" max="63" width="5.33203125" bestFit="1" customWidth="1"/>
    <col min="64" max="64" width="7.33203125" bestFit="1" customWidth="1"/>
    <col min="65" max="65" width="5.77734375" bestFit="1" customWidth="1"/>
    <col min="66" max="66" width="6.109375" bestFit="1" customWidth="1"/>
    <col min="67" max="67" width="6" bestFit="1" customWidth="1"/>
    <col min="68" max="68" width="6.6640625" bestFit="1" customWidth="1"/>
    <col min="69" max="69" width="7.44140625" bestFit="1" customWidth="1"/>
    <col min="70" max="70" width="6.77734375" bestFit="1" customWidth="1"/>
    <col min="71" max="71" width="7.21875" bestFit="1" customWidth="1"/>
    <col min="72" max="72" width="9.21875" bestFit="1" customWidth="1"/>
    <col min="73" max="73" width="6.21875" bestFit="1" customWidth="1"/>
    <col min="74" max="74" width="6.109375" bestFit="1" customWidth="1"/>
    <col min="75" max="75" width="5.6640625" bestFit="1" customWidth="1"/>
    <col min="76" max="76" width="5.109375" bestFit="1" customWidth="1"/>
    <col min="77" max="77" width="7.44140625" bestFit="1" customWidth="1"/>
    <col min="78" max="78" width="5.88671875" bestFit="1" customWidth="1"/>
    <col min="79" max="79" width="6.77734375" bestFit="1" customWidth="1"/>
    <col min="80" max="80" width="5.44140625" bestFit="1" customWidth="1"/>
    <col min="81" max="81" width="7" bestFit="1" customWidth="1"/>
    <col min="82" max="82" width="5.77734375" bestFit="1" customWidth="1"/>
    <col min="83" max="83" width="5.6640625" bestFit="1" customWidth="1"/>
    <col min="84" max="84" width="12" bestFit="1" customWidth="1"/>
    <col min="85" max="85" width="7.6640625" bestFit="1" customWidth="1"/>
    <col min="86" max="86" width="6.33203125" bestFit="1" customWidth="1"/>
    <col min="87" max="87" width="4.88671875" bestFit="1" customWidth="1"/>
    <col min="88" max="88" width="12" bestFit="1" customWidth="1"/>
    <col min="89" max="89" width="10" bestFit="1" customWidth="1"/>
    <col min="90" max="90" width="8.6640625" bestFit="1" customWidth="1"/>
    <col min="91" max="91" width="7.109375" bestFit="1" customWidth="1"/>
    <col min="92" max="92" width="11.44140625" bestFit="1" customWidth="1"/>
    <col min="93" max="93" width="6.33203125" bestFit="1" customWidth="1"/>
    <col min="94" max="94" width="7.6640625" bestFit="1" customWidth="1"/>
    <col min="95" max="95" width="6.109375" bestFit="1" customWidth="1"/>
    <col min="96" max="96" width="8" bestFit="1" customWidth="1"/>
    <col min="97" max="97" width="8.6640625" bestFit="1" customWidth="1"/>
    <col min="98" max="98" width="11.33203125" bestFit="1" customWidth="1"/>
    <col min="99" max="99" width="7.6640625" bestFit="1" customWidth="1"/>
    <col min="100" max="100" width="12" bestFit="1" customWidth="1"/>
    <col min="101" max="101" width="8.6640625" bestFit="1" customWidth="1"/>
    <col min="102" max="102" width="11.44140625" bestFit="1" customWidth="1"/>
    <col min="103" max="103" width="6.33203125" bestFit="1" customWidth="1"/>
    <col min="104" max="104" width="12" bestFit="1" customWidth="1"/>
    <col min="105" max="105" width="10" bestFit="1" customWidth="1"/>
    <col min="106" max="106" width="6.33203125" bestFit="1" customWidth="1"/>
    <col min="107" max="107" width="7.6640625" bestFit="1" customWidth="1"/>
    <col min="108" max="108" width="8" bestFit="1" customWidth="1"/>
    <col min="109" max="109" width="7.6640625" bestFit="1" customWidth="1"/>
    <col min="110" max="110" width="10.109375" bestFit="1" customWidth="1"/>
    <col min="111" max="111" width="7.6640625" bestFit="1" customWidth="1"/>
    <col min="112" max="112" width="8.6640625" bestFit="1" customWidth="1"/>
    <col min="113" max="113" width="7.6640625" bestFit="1" customWidth="1"/>
    <col min="114" max="114" width="6.109375" bestFit="1" customWidth="1"/>
    <col min="115" max="115" width="8.6640625" bestFit="1" customWidth="1"/>
    <col min="116" max="116" width="7.6640625" bestFit="1" customWidth="1"/>
    <col min="117" max="117" width="12" bestFit="1" customWidth="1"/>
    <col min="118" max="126" width="4" bestFit="1" customWidth="1"/>
    <col min="127" max="127" width="10.77734375" bestFit="1" customWidth="1"/>
  </cols>
  <sheetData>
    <row r="1" spans="1:8" x14ac:dyDescent="0.3">
      <c r="A1" s="2" t="s">
        <v>102</v>
      </c>
    </row>
    <row r="3" spans="1:8" x14ac:dyDescent="0.3">
      <c r="C3" t="s">
        <v>138</v>
      </c>
    </row>
    <row r="4" spans="1:8" x14ac:dyDescent="0.3">
      <c r="C4">
        <v>1775</v>
      </c>
    </row>
    <row r="6" spans="1:8" x14ac:dyDescent="0.3">
      <c r="A6" s="2" t="s">
        <v>103</v>
      </c>
    </row>
    <row r="8" spans="1:8" x14ac:dyDescent="0.3">
      <c r="C8" s="5" t="s">
        <v>1</v>
      </c>
      <c r="D8" t="s">
        <v>42</v>
      </c>
      <c r="G8" s="5" t="s">
        <v>139</v>
      </c>
      <c r="H8" t="s">
        <v>142</v>
      </c>
    </row>
    <row r="9" spans="1:8" x14ac:dyDescent="0.3">
      <c r="G9" s="6" t="s">
        <v>42</v>
      </c>
      <c r="H9" s="7">
        <v>429.27272727272725</v>
      </c>
    </row>
    <row r="10" spans="1:8" x14ac:dyDescent="0.3">
      <c r="C10" t="s">
        <v>142</v>
      </c>
      <c r="G10" s="6" t="s">
        <v>140</v>
      </c>
      <c r="H10" s="7">
        <v>429.27272727272725</v>
      </c>
    </row>
    <row r="11" spans="1:8" x14ac:dyDescent="0.3">
      <c r="C11">
        <v>429.27272727272725</v>
      </c>
    </row>
    <row r="13" spans="1:8" x14ac:dyDescent="0.3">
      <c r="A13" s="2" t="s">
        <v>104</v>
      </c>
    </row>
    <row r="15" spans="1:8" x14ac:dyDescent="0.3">
      <c r="B15" s="5" t="s">
        <v>139</v>
      </c>
      <c r="C15" t="s">
        <v>143</v>
      </c>
    </row>
    <row r="16" spans="1:8" x14ac:dyDescent="0.3">
      <c r="B16" s="6" t="s">
        <v>38</v>
      </c>
      <c r="C16" s="7">
        <v>610</v>
      </c>
    </row>
    <row r="17" spans="1:9" x14ac:dyDescent="0.3">
      <c r="B17" s="6" t="s">
        <v>140</v>
      </c>
      <c r="C17" s="7">
        <v>610</v>
      </c>
    </row>
    <row r="20" spans="1:9" x14ac:dyDescent="0.3">
      <c r="A20" s="2" t="s">
        <v>105</v>
      </c>
    </row>
    <row r="22" spans="1:9" x14ac:dyDescent="0.3">
      <c r="C22" s="5" t="s">
        <v>1</v>
      </c>
      <c r="D22" t="s">
        <v>15</v>
      </c>
      <c r="H22" s="5" t="s">
        <v>139</v>
      </c>
      <c r="I22" t="s">
        <v>141</v>
      </c>
    </row>
    <row r="23" spans="1:9" x14ac:dyDescent="0.3">
      <c r="H23" s="6" t="s">
        <v>15</v>
      </c>
      <c r="I23" s="7">
        <v>4893</v>
      </c>
    </row>
    <row r="24" spans="1:9" x14ac:dyDescent="0.3">
      <c r="C24" t="s">
        <v>141</v>
      </c>
      <c r="H24" s="6" t="s">
        <v>140</v>
      </c>
      <c r="I24" s="7">
        <v>4893</v>
      </c>
    </row>
    <row r="25" spans="1:9" x14ac:dyDescent="0.3">
      <c r="C25">
        <v>4893</v>
      </c>
    </row>
    <row r="27" spans="1:9" x14ac:dyDescent="0.3">
      <c r="A27" s="2" t="s">
        <v>106</v>
      </c>
    </row>
    <row r="30" spans="1:9" x14ac:dyDescent="0.3">
      <c r="C30" s="5" t="s">
        <v>139</v>
      </c>
      <c r="D30" t="s">
        <v>144</v>
      </c>
    </row>
    <row r="31" spans="1:9" x14ac:dyDescent="0.3">
      <c r="C31" s="6" t="s">
        <v>42</v>
      </c>
      <c r="D31" s="7">
        <v>11</v>
      </c>
    </row>
    <row r="32" spans="1:9" x14ac:dyDescent="0.3">
      <c r="C32" s="6" t="s">
        <v>50</v>
      </c>
      <c r="D32" s="7">
        <v>12</v>
      </c>
    </row>
    <row r="33" spans="1:5" x14ac:dyDescent="0.3">
      <c r="C33" s="6" t="s">
        <v>27</v>
      </c>
      <c r="D33" s="7">
        <v>12</v>
      </c>
    </row>
    <row r="34" spans="1:5" x14ac:dyDescent="0.3">
      <c r="C34" s="6" t="s">
        <v>15</v>
      </c>
      <c r="D34" s="7">
        <v>12</v>
      </c>
    </row>
    <row r="35" spans="1:5" x14ac:dyDescent="0.3">
      <c r="C35" s="6" t="s">
        <v>21</v>
      </c>
      <c r="D35" s="7">
        <v>12</v>
      </c>
    </row>
    <row r="36" spans="1:5" x14ac:dyDescent="0.3">
      <c r="C36" s="6" t="s">
        <v>60</v>
      </c>
      <c r="D36" s="7">
        <v>12</v>
      </c>
    </row>
    <row r="37" spans="1:5" x14ac:dyDescent="0.3">
      <c r="C37" s="6" t="s">
        <v>38</v>
      </c>
      <c r="D37" s="7">
        <v>11</v>
      </c>
    </row>
    <row r="38" spans="1:5" x14ac:dyDescent="0.3">
      <c r="C38" s="6" t="s">
        <v>33</v>
      </c>
      <c r="D38" s="7">
        <v>12</v>
      </c>
    </row>
    <row r="39" spans="1:5" x14ac:dyDescent="0.3">
      <c r="C39" s="6" t="s">
        <v>8</v>
      </c>
      <c r="D39" s="7">
        <v>5</v>
      </c>
    </row>
    <row r="40" spans="1:5" x14ac:dyDescent="0.3">
      <c r="C40" s="6" t="s">
        <v>55</v>
      </c>
      <c r="D40" s="7">
        <v>13</v>
      </c>
    </row>
    <row r="41" spans="1:5" x14ac:dyDescent="0.3">
      <c r="C41" s="6" t="s">
        <v>46</v>
      </c>
      <c r="D41" s="7">
        <v>11</v>
      </c>
    </row>
    <row r="42" spans="1:5" x14ac:dyDescent="0.3">
      <c r="C42" s="6" t="s">
        <v>140</v>
      </c>
      <c r="D42" s="7">
        <v>123</v>
      </c>
    </row>
    <row r="45" spans="1:5" x14ac:dyDescent="0.3">
      <c r="A45" s="2" t="s">
        <v>145</v>
      </c>
    </row>
    <row r="48" spans="1:5" x14ac:dyDescent="0.3">
      <c r="D48" s="5" t="s">
        <v>146</v>
      </c>
      <c r="E48" s="5" t="s">
        <v>162</v>
      </c>
    </row>
    <row r="49" spans="1:84" x14ac:dyDescent="0.3">
      <c r="D49" s="5" t="s">
        <v>139</v>
      </c>
      <c r="E49" t="s">
        <v>83</v>
      </c>
      <c r="F49" t="s">
        <v>10</v>
      </c>
      <c r="G49" t="s">
        <v>94</v>
      </c>
      <c r="H49" t="s">
        <v>11</v>
      </c>
      <c r="I49" t="s">
        <v>39</v>
      </c>
      <c r="J49" t="s">
        <v>44</v>
      </c>
      <c r="K49" t="s">
        <v>82</v>
      </c>
      <c r="L49" t="s">
        <v>12</v>
      </c>
      <c r="M49" t="s">
        <v>65</v>
      </c>
      <c r="N49" t="s">
        <v>56</v>
      </c>
      <c r="O49" t="s">
        <v>72</v>
      </c>
      <c r="P49" t="s">
        <v>99</v>
      </c>
      <c r="Q49" t="s">
        <v>84</v>
      </c>
      <c r="R49" t="s">
        <v>40</v>
      </c>
      <c r="S49" t="s">
        <v>76</v>
      </c>
      <c r="T49" t="s">
        <v>68</v>
      </c>
      <c r="U49" t="s">
        <v>93</v>
      </c>
      <c r="V49" t="s">
        <v>26</v>
      </c>
      <c r="W49" t="s">
        <v>91</v>
      </c>
      <c r="X49" t="s">
        <v>62</v>
      </c>
      <c r="Y49" t="s">
        <v>57</v>
      </c>
      <c r="Z49" t="s">
        <v>13</v>
      </c>
      <c r="AA49" t="s">
        <v>43</v>
      </c>
      <c r="AB49" t="s">
        <v>41</v>
      </c>
      <c r="AC49" t="s">
        <v>95</v>
      </c>
      <c r="AD49" t="s">
        <v>45</v>
      </c>
      <c r="AE49" t="s">
        <v>14</v>
      </c>
      <c r="AF49" t="s">
        <v>88</v>
      </c>
      <c r="AG49" t="s">
        <v>59</v>
      </c>
      <c r="AH49" t="s">
        <v>80</v>
      </c>
      <c r="AI49" t="s">
        <v>17</v>
      </c>
      <c r="AJ49" t="s">
        <v>20</v>
      </c>
      <c r="AK49" t="s">
        <v>98</v>
      </c>
      <c r="AL49" t="s">
        <v>96</v>
      </c>
      <c r="AM49" t="s">
        <v>73</v>
      </c>
      <c r="AN49" t="s">
        <v>52</v>
      </c>
      <c r="AO49" t="s">
        <v>23</v>
      </c>
      <c r="AP49" t="s">
        <v>63</v>
      </c>
      <c r="AQ49" t="s">
        <v>92</v>
      </c>
      <c r="AR49" t="s">
        <v>29</v>
      </c>
      <c r="AS49" t="s">
        <v>48</v>
      </c>
      <c r="AT49" t="s">
        <v>78</v>
      </c>
      <c r="AU49" t="s">
        <v>86</v>
      </c>
      <c r="AV49" t="s">
        <v>34</v>
      </c>
      <c r="AW49" t="s">
        <v>18</v>
      </c>
      <c r="AX49" t="s">
        <v>69</v>
      </c>
      <c r="AY49" t="s">
        <v>32</v>
      </c>
      <c r="AZ49" t="s">
        <v>24</v>
      </c>
      <c r="BA49" t="s">
        <v>66</v>
      </c>
      <c r="BB49" t="s">
        <v>58</v>
      </c>
      <c r="BC49" t="s">
        <v>71</v>
      </c>
      <c r="BD49" t="s">
        <v>61</v>
      </c>
      <c r="BE49" t="s">
        <v>75</v>
      </c>
      <c r="BF49" t="s">
        <v>30</v>
      </c>
      <c r="BG49" t="s">
        <v>37</v>
      </c>
      <c r="BH49" t="s">
        <v>35</v>
      </c>
      <c r="BI49" t="s">
        <v>74</v>
      </c>
      <c r="BJ49" t="s">
        <v>53</v>
      </c>
      <c r="BK49" t="s">
        <v>19</v>
      </c>
      <c r="BL49" t="s">
        <v>89</v>
      </c>
      <c r="BM49" t="s">
        <v>25</v>
      </c>
      <c r="BN49" t="s">
        <v>97</v>
      </c>
      <c r="BO49" t="s">
        <v>64</v>
      </c>
      <c r="BP49" t="s">
        <v>90</v>
      </c>
      <c r="BQ49" t="s">
        <v>49</v>
      </c>
      <c r="BR49" t="s">
        <v>31</v>
      </c>
      <c r="BS49" t="s">
        <v>85</v>
      </c>
      <c r="BT49" t="s">
        <v>36</v>
      </c>
      <c r="BU49" t="s">
        <v>70</v>
      </c>
      <c r="BV49" t="s">
        <v>87</v>
      </c>
      <c r="BW49" t="s">
        <v>81</v>
      </c>
      <c r="BX49" t="s">
        <v>51</v>
      </c>
      <c r="BY49" t="s">
        <v>67</v>
      </c>
      <c r="BZ49" t="s">
        <v>101</v>
      </c>
      <c r="CA49" t="s">
        <v>47</v>
      </c>
      <c r="CB49" t="s">
        <v>54</v>
      </c>
      <c r="CC49" t="s">
        <v>79</v>
      </c>
      <c r="CD49" t="s">
        <v>77</v>
      </c>
      <c r="CE49" t="s">
        <v>100</v>
      </c>
      <c r="CF49" t="s">
        <v>140</v>
      </c>
    </row>
    <row r="50" spans="1:84" x14ac:dyDescent="0.3">
      <c r="D50" s="6" t="s">
        <v>42</v>
      </c>
      <c r="E50" s="7"/>
      <c r="F50" s="7"/>
      <c r="G50" s="7"/>
      <c r="H50" s="7"/>
      <c r="I50" s="7"/>
      <c r="J50" s="7">
        <v>25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>
        <v>15</v>
      </c>
      <c r="AB50" s="7"/>
      <c r="AC50" s="7"/>
      <c r="AD50" s="7">
        <v>11</v>
      </c>
      <c r="AE50" s="7"/>
      <c r="AF50" s="7"/>
      <c r="AG50" s="7"/>
      <c r="AH50" s="7">
        <v>16</v>
      </c>
      <c r="AI50" s="7"/>
      <c r="AJ50" s="7"/>
      <c r="AK50" s="7"/>
      <c r="AL50" s="7">
        <v>12</v>
      </c>
      <c r="AM50" s="7"/>
      <c r="AN50" s="7">
        <v>8</v>
      </c>
      <c r="AO50" s="7"/>
      <c r="AP50" s="7"/>
      <c r="AQ50" s="7"/>
      <c r="AR50" s="7"/>
      <c r="AS50" s="7"/>
      <c r="AT50" s="7">
        <v>9.5</v>
      </c>
      <c r="AU50" s="7"/>
      <c r="AV50" s="7"/>
      <c r="AW50" s="7"/>
      <c r="AX50" s="7">
        <v>14</v>
      </c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>
        <v>18</v>
      </c>
      <c r="BX50" s="7"/>
      <c r="BY50" s="7"/>
      <c r="BZ50" s="7"/>
      <c r="CA50" s="7"/>
      <c r="CB50" s="7"/>
      <c r="CC50" s="7">
        <v>11</v>
      </c>
      <c r="CD50" s="7"/>
      <c r="CE50" s="7"/>
      <c r="CF50" s="7">
        <v>13.545454545454545</v>
      </c>
    </row>
    <row r="51" spans="1:84" x14ac:dyDescent="0.3">
      <c r="D51" s="6" t="s">
        <v>50</v>
      </c>
      <c r="E51" s="7">
        <v>16</v>
      </c>
      <c r="F51" s="7"/>
      <c r="G51" s="7"/>
      <c r="H51" s="7"/>
      <c r="I51" s="7"/>
      <c r="J51" s="7"/>
      <c r="K51" s="7">
        <v>18.5</v>
      </c>
      <c r="L51" s="7"/>
      <c r="M51" s="7"/>
      <c r="N51" s="7"/>
      <c r="O51" s="7"/>
      <c r="P51" s="7"/>
      <c r="Q51" s="7">
        <v>15</v>
      </c>
      <c r="R51" s="7"/>
      <c r="S51" s="7"/>
      <c r="T51" s="7"/>
      <c r="U51" s="7"/>
      <c r="V51" s="7"/>
      <c r="W51" s="7"/>
      <c r="X51" s="7">
        <v>14</v>
      </c>
      <c r="Y51" s="7"/>
      <c r="Z51" s="7"/>
      <c r="AA51" s="7"/>
      <c r="AB51" s="7">
        <v>10</v>
      </c>
      <c r="AC51" s="7"/>
      <c r="AD51" s="7">
        <v>17</v>
      </c>
      <c r="AE51" s="7"/>
      <c r="AF51" s="7"/>
      <c r="AG51" s="7"/>
      <c r="AH51" s="7"/>
      <c r="AI51" s="7"/>
      <c r="AJ51" s="7"/>
      <c r="AK51" s="7"/>
      <c r="AL51" s="7"/>
      <c r="AM51" s="7"/>
      <c r="AN51" s="7">
        <v>15</v>
      </c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>
        <v>28</v>
      </c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>
        <v>20</v>
      </c>
      <c r="BY51" s="7"/>
      <c r="BZ51" s="7"/>
      <c r="CA51" s="7"/>
      <c r="CB51" s="7">
        <v>10</v>
      </c>
      <c r="CC51" s="7"/>
      <c r="CD51" s="7"/>
      <c r="CE51" s="7">
        <v>17</v>
      </c>
      <c r="CF51" s="7">
        <v>16.583333333333332</v>
      </c>
    </row>
    <row r="52" spans="1:84" x14ac:dyDescent="0.3">
      <c r="D52" s="6" t="s">
        <v>27</v>
      </c>
      <c r="E52" s="7"/>
      <c r="F52" s="7">
        <v>9</v>
      </c>
      <c r="G52" s="7">
        <v>15</v>
      </c>
      <c r="H52" s="7"/>
      <c r="I52" s="7"/>
      <c r="J52" s="7"/>
      <c r="K52" s="7"/>
      <c r="L52" s="7"/>
      <c r="M52" s="7"/>
      <c r="N52" s="7"/>
      <c r="O52" s="7">
        <v>9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>
        <v>15</v>
      </c>
      <c r="AE52" s="7"/>
      <c r="AF52" s="7"/>
      <c r="AG52" s="7"/>
      <c r="AH52" s="7"/>
      <c r="AI52" s="7"/>
      <c r="AJ52" s="7"/>
      <c r="AK52" s="7"/>
      <c r="AL52" s="7"/>
      <c r="AM52" s="7"/>
      <c r="AN52" s="7">
        <v>8</v>
      </c>
      <c r="AO52" s="7"/>
      <c r="AP52" s="7"/>
      <c r="AQ52" s="7"/>
      <c r="AR52" s="7">
        <v>17</v>
      </c>
      <c r="AS52" s="7"/>
      <c r="AT52" s="7"/>
      <c r="AU52" s="7"/>
      <c r="AV52" s="7"/>
      <c r="AW52" s="7"/>
      <c r="AX52" s="7"/>
      <c r="AY52" s="7">
        <v>23</v>
      </c>
      <c r="AZ52" s="7"/>
      <c r="BA52" s="7"/>
      <c r="BB52" s="7"/>
      <c r="BC52" s="7">
        <v>20</v>
      </c>
      <c r="BD52" s="7"/>
      <c r="BE52" s="7"/>
      <c r="BF52" s="7">
        <v>8</v>
      </c>
      <c r="BG52" s="7"/>
      <c r="BH52" s="7"/>
      <c r="BI52" s="7">
        <v>11</v>
      </c>
      <c r="BJ52" s="7"/>
      <c r="BK52" s="7"/>
      <c r="BL52" s="7"/>
      <c r="BM52" s="7"/>
      <c r="BN52" s="7"/>
      <c r="BO52" s="7"/>
      <c r="BP52" s="7"/>
      <c r="BQ52" s="7"/>
      <c r="BR52" s="7">
        <v>14</v>
      </c>
      <c r="BS52" s="7"/>
      <c r="BT52" s="7"/>
      <c r="BU52" s="7"/>
      <c r="BV52" s="7"/>
      <c r="BW52" s="7"/>
      <c r="BX52" s="7"/>
      <c r="BY52" s="7"/>
      <c r="BZ52" s="7"/>
      <c r="CA52" s="7"/>
      <c r="CB52" s="7">
        <v>10</v>
      </c>
      <c r="CC52" s="7"/>
      <c r="CD52" s="7"/>
      <c r="CE52" s="7"/>
      <c r="CF52" s="7">
        <v>13.25</v>
      </c>
    </row>
    <row r="53" spans="1:84" x14ac:dyDescent="0.3">
      <c r="D53" s="6" t="s">
        <v>15</v>
      </c>
      <c r="E53" s="7"/>
      <c r="F53" s="7"/>
      <c r="G53" s="7"/>
      <c r="H53" s="7"/>
      <c r="I53" s="7"/>
      <c r="J53" s="7">
        <v>10</v>
      </c>
      <c r="K53" s="7"/>
      <c r="L53" s="7"/>
      <c r="M53" s="7">
        <v>15</v>
      </c>
      <c r="N53" s="7"/>
      <c r="O53" s="7"/>
      <c r="P53" s="7"/>
      <c r="Q53" s="7"/>
      <c r="R53" s="7"/>
      <c r="S53" s="7"/>
      <c r="T53" s="7">
        <v>15</v>
      </c>
      <c r="U53" s="7">
        <v>11</v>
      </c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>
        <v>22</v>
      </c>
      <c r="AJ53" s="7">
        <v>9</v>
      </c>
      <c r="AK53" s="7">
        <v>14</v>
      </c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>
        <v>19</v>
      </c>
      <c r="AX53" s="7"/>
      <c r="AY53" s="7"/>
      <c r="AZ53" s="7"/>
      <c r="BA53" s="7">
        <v>11.5</v>
      </c>
      <c r="BB53" s="7"/>
      <c r="BC53" s="7"/>
      <c r="BD53" s="7"/>
      <c r="BE53" s="7"/>
      <c r="BF53" s="7"/>
      <c r="BG53" s="7"/>
      <c r="BH53" s="7"/>
      <c r="BI53" s="7"/>
      <c r="BJ53" s="7"/>
      <c r="BK53" s="7">
        <v>12</v>
      </c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>
        <v>9</v>
      </c>
      <c r="BZ53" s="7"/>
      <c r="CA53" s="7"/>
      <c r="CB53" s="7"/>
      <c r="CC53" s="7"/>
      <c r="CD53" s="7"/>
      <c r="CE53" s="7"/>
      <c r="CF53" s="7">
        <v>13.25</v>
      </c>
    </row>
    <row r="54" spans="1:84" x14ac:dyDescent="0.3">
      <c r="D54" s="6" t="s">
        <v>21</v>
      </c>
      <c r="E54" s="7"/>
      <c r="F54" s="7"/>
      <c r="G54" s="7"/>
      <c r="H54" s="7"/>
      <c r="I54" s="7"/>
      <c r="J54" s="7"/>
      <c r="K54" s="7"/>
      <c r="L54" s="7">
        <v>20</v>
      </c>
      <c r="M54" s="7"/>
      <c r="N54" s="7"/>
      <c r="O54" s="7"/>
      <c r="P54" s="7">
        <v>15</v>
      </c>
      <c r="Q54" s="7"/>
      <c r="R54" s="7"/>
      <c r="S54" s="7"/>
      <c r="T54" s="7"/>
      <c r="U54" s="7"/>
      <c r="V54" s="7">
        <v>21</v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>
        <v>11</v>
      </c>
      <c r="AP54" s="7"/>
      <c r="AQ54" s="7"/>
      <c r="AR54" s="7"/>
      <c r="AS54" s="7"/>
      <c r="AT54" s="7"/>
      <c r="AU54" s="7">
        <v>10</v>
      </c>
      <c r="AV54" s="7"/>
      <c r="AW54" s="7"/>
      <c r="AX54" s="7">
        <v>16</v>
      </c>
      <c r="AY54" s="7"/>
      <c r="AZ54" s="7">
        <v>26</v>
      </c>
      <c r="BA54" s="7">
        <v>14</v>
      </c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>
        <v>28</v>
      </c>
      <c r="BN54" s="7"/>
      <c r="BO54" s="7"/>
      <c r="BP54" s="7"/>
      <c r="BQ54" s="7"/>
      <c r="BR54" s="7"/>
      <c r="BS54" s="7"/>
      <c r="BT54" s="7"/>
      <c r="BU54" s="7">
        <v>17</v>
      </c>
      <c r="BV54" s="7"/>
      <c r="BW54" s="7"/>
      <c r="BX54" s="7"/>
      <c r="BY54" s="7">
        <v>19</v>
      </c>
      <c r="BZ54" s="7">
        <v>15</v>
      </c>
      <c r="CA54" s="7"/>
      <c r="CB54" s="7"/>
      <c r="CC54" s="7"/>
      <c r="CD54" s="7"/>
      <c r="CE54" s="7"/>
      <c r="CF54" s="7">
        <v>17.666666666666668</v>
      </c>
    </row>
    <row r="55" spans="1:84" x14ac:dyDescent="0.3">
      <c r="D55" s="6" t="s">
        <v>60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>
        <v>9</v>
      </c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>
        <v>12</v>
      </c>
      <c r="AQ55" s="7">
        <v>19</v>
      </c>
      <c r="AR55" s="7"/>
      <c r="AS55" s="7"/>
      <c r="AT55" s="7"/>
      <c r="AU55" s="7"/>
      <c r="AV55" s="7"/>
      <c r="AW55" s="7"/>
      <c r="AX55" s="7"/>
      <c r="AY55" s="7"/>
      <c r="AZ55" s="7"/>
      <c r="BA55" s="7">
        <v>19</v>
      </c>
      <c r="BB55" s="7"/>
      <c r="BC55" s="7"/>
      <c r="BD55" s="7">
        <v>16.333333333333332</v>
      </c>
      <c r="BE55" s="7"/>
      <c r="BF55" s="7"/>
      <c r="BG55" s="7"/>
      <c r="BH55" s="7"/>
      <c r="BI55" s="7"/>
      <c r="BJ55" s="7"/>
      <c r="BK55" s="7"/>
      <c r="BL55" s="7"/>
      <c r="BM55" s="7"/>
      <c r="BN55" s="7">
        <v>13</v>
      </c>
      <c r="BO55" s="7">
        <v>12</v>
      </c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>
        <v>13.833333333333334</v>
      </c>
    </row>
    <row r="56" spans="1:84" x14ac:dyDescent="0.3">
      <c r="D56" s="6" t="s">
        <v>38</v>
      </c>
      <c r="E56" s="7"/>
      <c r="F56" s="7"/>
      <c r="G56" s="7"/>
      <c r="H56" s="7"/>
      <c r="I56" s="7">
        <v>10</v>
      </c>
      <c r="J56" s="7"/>
      <c r="K56" s="7"/>
      <c r="L56" s="7"/>
      <c r="M56" s="7"/>
      <c r="N56" s="7">
        <v>10</v>
      </c>
      <c r="O56" s="7"/>
      <c r="P56" s="7"/>
      <c r="Q56" s="7"/>
      <c r="R56" s="7">
        <v>11</v>
      </c>
      <c r="S56" s="7">
        <v>9</v>
      </c>
      <c r="T56" s="7"/>
      <c r="U56" s="7"/>
      <c r="V56" s="7"/>
      <c r="W56" s="7"/>
      <c r="X56" s="7"/>
      <c r="Y56" s="7"/>
      <c r="Z56" s="7"/>
      <c r="AA56" s="7"/>
      <c r="AB56" s="7">
        <v>7</v>
      </c>
      <c r="AC56" s="7"/>
      <c r="AD56" s="7"/>
      <c r="AE56" s="7"/>
      <c r="AF56" s="7"/>
      <c r="AG56" s="7"/>
      <c r="AH56" s="7">
        <v>12</v>
      </c>
      <c r="AI56" s="7"/>
      <c r="AJ56" s="7"/>
      <c r="AK56" s="7"/>
      <c r="AL56" s="7"/>
      <c r="AM56" s="7">
        <v>15</v>
      </c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>
        <v>18</v>
      </c>
      <c r="AY56" s="7"/>
      <c r="AZ56" s="7"/>
      <c r="BA56" s="7"/>
      <c r="BB56" s="7"/>
      <c r="BC56" s="7">
        <v>20</v>
      </c>
      <c r="BD56" s="7"/>
      <c r="BE56" s="7">
        <v>16</v>
      </c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>
        <v>14</v>
      </c>
      <c r="CE56" s="7"/>
      <c r="CF56" s="7">
        <v>12.909090909090908</v>
      </c>
    </row>
    <row r="57" spans="1:84" x14ac:dyDescent="0.3">
      <c r="D57" s="6" t="s">
        <v>33</v>
      </c>
      <c r="E57" s="7"/>
      <c r="F57" s="7"/>
      <c r="G57" s="7"/>
      <c r="H57" s="7"/>
      <c r="I57" s="7"/>
      <c r="J57" s="7"/>
      <c r="K57" s="7"/>
      <c r="L57" s="7"/>
      <c r="M57" s="7"/>
      <c r="N57" s="7">
        <v>15</v>
      </c>
      <c r="O57" s="7"/>
      <c r="P57" s="7"/>
      <c r="Q57" s="7"/>
      <c r="R57" s="7">
        <v>16</v>
      </c>
      <c r="S57" s="7"/>
      <c r="T57" s="7"/>
      <c r="U57" s="7"/>
      <c r="V57" s="7"/>
      <c r="W57" s="7"/>
      <c r="X57" s="7"/>
      <c r="Y57" s="7">
        <v>10</v>
      </c>
      <c r="Z57" s="7"/>
      <c r="AA57" s="7"/>
      <c r="AB57" s="7"/>
      <c r="AC57" s="7">
        <v>9</v>
      </c>
      <c r="AD57" s="7"/>
      <c r="AE57" s="7"/>
      <c r="AF57" s="7"/>
      <c r="AG57" s="7"/>
      <c r="AH57" s="7"/>
      <c r="AI57" s="7"/>
      <c r="AJ57" s="7"/>
      <c r="AK57" s="7"/>
      <c r="AL57" s="7"/>
      <c r="AM57" s="7">
        <v>14</v>
      </c>
      <c r="AN57" s="7"/>
      <c r="AO57" s="7"/>
      <c r="AP57" s="7"/>
      <c r="AQ57" s="7"/>
      <c r="AR57" s="7"/>
      <c r="AS57" s="7"/>
      <c r="AT57" s="7"/>
      <c r="AU57" s="7"/>
      <c r="AV57" s="7">
        <v>13</v>
      </c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>
        <v>19</v>
      </c>
      <c r="BH57" s="7">
        <v>15</v>
      </c>
      <c r="BI57" s="7">
        <v>11</v>
      </c>
      <c r="BJ57" s="7">
        <v>8</v>
      </c>
      <c r="BK57" s="7"/>
      <c r="BL57" s="7"/>
      <c r="BM57" s="7"/>
      <c r="BN57" s="7"/>
      <c r="BO57" s="7"/>
      <c r="BP57" s="7"/>
      <c r="BQ57" s="7"/>
      <c r="BR57" s="7"/>
      <c r="BS57" s="7"/>
      <c r="BT57" s="7">
        <v>21</v>
      </c>
      <c r="BU57" s="7"/>
      <c r="BV57" s="7"/>
      <c r="BW57" s="7">
        <v>15</v>
      </c>
      <c r="BX57" s="7"/>
      <c r="BY57" s="7"/>
      <c r="BZ57" s="7"/>
      <c r="CA57" s="7"/>
      <c r="CB57" s="7"/>
      <c r="CC57" s="7"/>
      <c r="CD57" s="7"/>
      <c r="CE57" s="7"/>
      <c r="CF57" s="7">
        <v>13.833333333333334</v>
      </c>
    </row>
    <row r="58" spans="1:84" x14ac:dyDescent="0.3">
      <c r="D58" s="6" t="s">
        <v>8</v>
      </c>
      <c r="E58" s="7"/>
      <c r="F58" s="7">
        <v>15</v>
      </c>
      <c r="G58" s="7"/>
      <c r="H58" s="7">
        <v>20</v>
      </c>
      <c r="I58" s="7"/>
      <c r="J58" s="7"/>
      <c r="K58" s="7"/>
      <c r="L58" s="7">
        <v>18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>
        <v>14</v>
      </c>
      <c r="AA58" s="7"/>
      <c r="AB58" s="7"/>
      <c r="AC58" s="7"/>
      <c r="AD58" s="7"/>
      <c r="AE58" s="7">
        <v>16</v>
      </c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>
        <v>16.600000000000001</v>
      </c>
    </row>
    <row r="59" spans="1:84" x14ac:dyDescent="0.3">
      <c r="D59" s="6" t="s">
        <v>55</v>
      </c>
      <c r="E59" s="7"/>
      <c r="F59" s="7"/>
      <c r="G59" s="7"/>
      <c r="H59" s="7"/>
      <c r="I59" s="7"/>
      <c r="J59" s="7"/>
      <c r="K59" s="7"/>
      <c r="L59" s="7"/>
      <c r="M59" s="7"/>
      <c r="N59" s="7">
        <v>12</v>
      </c>
      <c r="O59" s="7"/>
      <c r="P59" s="7"/>
      <c r="Q59" s="7"/>
      <c r="R59" s="7"/>
      <c r="S59" s="7"/>
      <c r="T59" s="7">
        <v>16</v>
      </c>
      <c r="U59" s="7"/>
      <c r="V59" s="7"/>
      <c r="W59" s="7">
        <v>16</v>
      </c>
      <c r="X59" s="7"/>
      <c r="Y59" s="7">
        <v>22</v>
      </c>
      <c r="Z59" s="7"/>
      <c r="AA59" s="7"/>
      <c r="AB59" s="7"/>
      <c r="AC59" s="7"/>
      <c r="AD59" s="7"/>
      <c r="AE59" s="7"/>
      <c r="AF59" s="7">
        <v>18</v>
      </c>
      <c r="AG59" s="7">
        <v>14.5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>
        <v>10</v>
      </c>
      <c r="AY59" s="7"/>
      <c r="AZ59" s="7"/>
      <c r="BA59" s="7"/>
      <c r="BB59" s="7">
        <v>19</v>
      </c>
      <c r="BC59" s="7"/>
      <c r="BD59" s="7"/>
      <c r="BE59" s="7"/>
      <c r="BF59" s="7">
        <v>11</v>
      </c>
      <c r="BG59" s="7"/>
      <c r="BH59" s="7"/>
      <c r="BI59" s="7"/>
      <c r="BJ59" s="7"/>
      <c r="BK59" s="7"/>
      <c r="BL59" s="7">
        <v>16</v>
      </c>
      <c r="BM59" s="7"/>
      <c r="BN59" s="7"/>
      <c r="BO59" s="7"/>
      <c r="BP59" s="7">
        <v>10</v>
      </c>
      <c r="BQ59" s="7"/>
      <c r="BR59" s="7"/>
      <c r="BS59" s="7"/>
      <c r="BT59" s="7"/>
      <c r="BU59" s="7"/>
      <c r="BV59" s="7"/>
      <c r="BW59" s="7"/>
      <c r="BX59" s="7">
        <v>21</v>
      </c>
      <c r="BY59" s="7"/>
      <c r="BZ59" s="7"/>
      <c r="CA59" s="7"/>
      <c r="CB59" s="7"/>
      <c r="CC59" s="7"/>
      <c r="CD59" s="7"/>
      <c r="CE59" s="7"/>
      <c r="CF59" s="7">
        <v>15.384615384615385</v>
      </c>
    </row>
    <row r="60" spans="1:84" x14ac:dyDescent="0.3">
      <c r="D60" s="6" t="s">
        <v>46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>
        <v>10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>
        <v>13</v>
      </c>
      <c r="AT60" s="7"/>
      <c r="AU60" s="7">
        <v>9</v>
      </c>
      <c r="AV60" s="7"/>
      <c r="AW60" s="7"/>
      <c r="AX60" s="7"/>
      <c r="AY60" s="7"/>
      <c r="AZ60" s="7"/>
      <c r="BA60" s="7">
        <v>13</v>
      </c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>
        <v>15</v>
      </c>
      <c r="BR60" s="7"/>
      <c r="BS60" s="7">
        <v>12</v>
      </c>
      <c r="BT60" s="7"/>
      <c r="BU60" s="7">
        <v>18</v>
      </c>
      <c r="BV60" s="7">
        <v>15</v>
      </c>
      <c r="BW60" s="7"/>
      <c r="BX60" s="7"/>
      <c r="BY60" s="7"/>
      <c r="BZ60" s="7"/>
      <c r="CA60" s="7">
        <v>8</v>
      </c>
      <c r="CB60" s="7"/>
      <c r="CC60" s="7"/>
      <c r="CD60" s="7">
        <v>14</v>
      </c>
      <c r="CE60" s="7"/>
      <c r="CF60" s="7">
        <v>12.727272727272727</v>
      </c>
    </row>
    <row r="61" spans="1:84" x14ac:dyDescent="0.3">
      <c r="D61" s="6" t="s">
        <v>140</v>
      </c>
      <c r="E61" s="7">
        <v>16</v>
      </c>
      <c r="F61" s="7">
        <v>12</v>
      </c>
      <c r="G61" s="7">
        <v>15</v>
      </c>
      <c r="H61" s="7">
        <v>20</v>
      </c>
      <c r="I61" s="7">
        <v>10</v>
      </c>
      <c r="J61" s="7">
        <v>17.5</v>
      </c>
      <c r="K61" s="7">
        <v>18.5</v>
      </c>
      <c r="L61" s="7">
        <v>19</v>
      </c>
      <c r="M61" s="7">
        <v>15</v>
      </c>
      <c r="N61" s="7">
        <v>12.333333333333334</v>
      </c>
      <c r="O61" s="7">
        <v>9</v>
      </c>
      <c r="P61" s="7">
        <v>15</v>
      </c>
      <c r="Q61" s="7">
        <v>15</v>
      </c>
      <c r="R61" s="7">
        <v>13.5</v>
      </c>
      <c r="S61" s="7">
        <v>9</v>
      </c>
      <c r="T61" s="7">
        <v>15.5</v>
      </c>
      <c r="U61" s="7">
        <v>11</v>
      </c>
      <c r="V61" s="7">
        <v>21</v>
      </c>
      <c r="W61" s="7">
        <v>16</v>
      </c>
      <c r="X61" s="7">
        <v>10.666666666666666</v>
      </c>
      <c r="Y61" s="7">
        <v>14</v>
      </c>
      <c r="Z61" s="7">
        <v>14</v>
      </c>
      <c r="AA61" s="7">
        <v>15</v>
      </c>
      <c r="AB61" s="7">
        <v>8.5</v>
      </c>
      <c r="AC61" s="7">
        <v>9</v>
      </c>
      <c r="AD61" s="7">
        <v>14.333333333333334</v>
      </c>
      <c r="AE61" s="7">
        <v>16</v>
      </c>
      <c r="AF61" s="7">
        <v>18</v>
      </c>
      <c r="AG61" s="7">
        <v>14.5</v>
      </c>
      <c r="AH61" s="7">
        <v>14</v>
      </c>
      <c r="AI61" s="7">
        <v>22</v>
      </c>
      <c r="AJ61" s="7">
        <v>9</v>
      </c>
      <c r="AK61" s="7">
        <v>14</v>
      </c>
      <c r="AL61" s="7">
        <v>12</v>
      </c>
      <c r="AM61" s="7">
        <v>14.5</v>
      </c>
      <c r="AN61" s="7">
        <v>10.333333333333334</v>
      </c>
      <c r="AO61" s="7">
        <v>11</v>
      </c>
      <c r="AP61" s="7">
        <v>12</v>
      </c>
      <c r="AQ61" s="7">
        <v>19</v>
      </c>
      <c r="AR61" s="7">
        <v>17</v>
      </c>
      <c r="AS61" s="7">
        <v>13</v>
      </c>
      <c r="AT61" s="7">
        <v>9.5</v>
      </c>
      <c r="AU61" s="7">
        <v>9.5</v>
      </c>
      <c r="AV61" s="7">
        <v>13</v>
      </c>
      <c r="AW61" s="7">
        <v>19</v>
      </c>
      <c r="AX61" s="7">
        <v>14.5</v>
      </c>
      <c r="AY61" s="7">
        <v>23</v>
      </c>
      <c r="AZ61" s="7">
        <v>26</v>
      </c>
      <c r="BA61" s="7">
        <v>13.666666666666666</v>
      </c>
      <c r="BB61" s="7">
        <v>19</v>
      </c>
      <c r="BC61" s="7">
        <v>20</v>
      </c>
      <c r="BD61" s="7">
        <v>16.333333333333332</v>
      </c>
      <c r="BE61" s="7">
        <v>16</v>
      </c>
      <c r="BF61" s="7">
        <v>9.5</v>
      </c>
      <c r="BG61" s="7">
        <v>19</v>
      </c>
      <c r="BH61" s="7">
        <v>15</v>
      </c>
      <c r="BI61" s="7">
        <v>11</v>
      </c>
      <c r="BJ61" s="7">
        <v>18</v>
      </c>
      <c r="BK61" s="7">
        <v>12</v>
      </c>
      <c r="BL61" s="7">
        <v>16</v>
      </c>
      <c r="BM61" s="7">
        <v>28</v>
      </c>
      <c r="BN61" s="7">
        <v>13</v>
      </c>
      <c r="BO61" s="7">
        <v>12</v>
      </c>
      <c r="BP61" s="7">
        <v>10</v>
      </c>
      <c r="BQ61" s="7">
        <v>15</v>
      </c>
      <c r="BR61" s="7">
        <v>14</v>
      </c>
      <c r="BS61" s="7">
        <v>12</v>
      </c>
      <c r="BT61" s="7">
        <v>21</v>
      </c>
      <c r="BU61" s="7">
        <v>17.5</v>
      </c>
      <c r="BV61" s="7">
        <v>15</v>
      </c>
      <c r="BW61" s="7">
        <v>16.5</v>
      </c>
      <c r="BX61" s="7">
        <v>20.5</v>
      </c>
      <c r="BY61" s="7">
        <v>14</v>
      </c>
      <c r="BZ61" s="7">
        <v>15</v>
      </c>
      <c r="CA61" s="7">
        <v>8</v>
      </c>
      <c r="CB61" s="7">
        <v>10</v>
      </c>
      <c r="CC61" s="7">
        <v>11</v>
      </c>
      <c r="CD61" s="7">
        <v>14</v>
      </c>
      <c r="CE61" s="7">
        <v>17</v>
      </c>
      <c r="CF61" s="7">
        <v>14.43089430894309</v>
      </c>
    </row>
    <row r="64" spans="1:84" x14ac:dyDescent="0.3">
      <c r="A64" s="2" t="s">
        <v>147</v>
      </c>
    </row>
    <row r="65" spans="1:11" x14ac:dyDescent="0.3">
      <c r="D65" s="5" t="s">
        <v>2</v>
      </c>
      <c r="E65" t="s">
        <v>9</v>
      </c>
      <c r="I65" s="5" t="s">
        <v>141</v>
      </c>
      <c r="J65" s="5" t="s">
        <v>162</v>
      </c>
    </row>
    <row r="66" spans="1:11" x14ac:dyDescent="0.3">
      <c r="D66" s="5" t="s">
        <v>1</v>
      </c>
      <c r="E66" t="s">
        <v>38</v>
      </c>
      <c r="I66" s="5" t="s">
        <v>139</v>
      </c>
      <c r="J66" t="s">
        <v>9</v>
      </c>
      <c r="K66" t="s">
        <v>140</v>
      </c>
    </row>
    <row r="67" spans="1:11" x14ac:dyDescent="0.3">
      <c r="I67" s="6" t="s">
        <v>38</v>
      </c>
      <c r="J67" s="7">
        <v>699</v>
      </c>
      <c r="K67" s="7">
        <v>699</v>
      </c>
    </row>
    <row r="68" spans="1:11" x14ac:dyDescent="0.3">
      <c r="D68" t="s">
        <v>141</v>
      </c>
      <c r="I68" s="6" t="s">
        <v>140</v>
      </c>
      <c r="J68" s="7">
        <v>699</v>
      </c>
      <c r="K68" s="7">
        <v>699</v>
      </c>
    </row>
    <row r="69" spans="1:11" x14ac:dyDescent="0.3">
      <c r="D69">
        <v>699</v>
      </c>
    </row>
    <row r="71" spans="1:11" x14ac:dyDescent="0.3">
      <c r="A71" t="s">
        <v>151</v>
      </c>
    </row>
    <row r="73" spans="1:11" x14ac:dyDescent="0.3">
      <c r="D73" s="5" t="s">
        <v>139</v>
      </c>
      <c r="E73" t="s">
        <v>148</v>
      </c>
    </row>
    <row r="74" spans="1:11" x14ac:dyDescent="0.3">
      <c r="D74" s="6" t="s">
        <v>71</v>
      </c>
      <c r="E74" s="7">
        <v>999</v>
      </c>
    </row>
    <row r="75" spans="1:11" x14ac:dyDescent="0.3">
      <c r="D75" s="6" t="s">
        <v>140</v>
      </c>
      <c r="E75" s="7">
        <v>999</v>
      </c>
    </row>
    <row r="77" spans="1:11" x14ac:dyDescent="0.3">
      <c r="A77" s="2" t="s">
        <v>149</v>
      </c>
    </row>
    <row r="81" spans="1:4" x14ac:dyDescent="0.3">
      <c r="C81" s="5" t="s">
        <v>139</v>
      </c>
      <c r="D81" t="s">
        <v>150</v>
      </c>
    </row>
    <row r="82" spans="1:4" x14ac:dyDescent="0.3">
      <c r="C82" s="6" t="s">
        <v>42</v>
      </c>
      <c r="D82">
        <v>261.81818181818181</v>
      </c>
    </row>
    <row r="83" spans="1:4" x14ac:dyDescent="0.3">
      <c r="C83" s="6" t="s">
        <v>50</v>
      </c>
      <c r="D83">
        <v>408</v>
      </c>
    </row>
    <row r="84" spans="1:4" x14ac:dyDescent="0.3">
      <c r="C84" s="6" t="s">
        <v>27</v>
      </c>
      <c r="D84">
        <v>270.83333333333331</v>
      </c>
    </row>
    <row r="85" spans="1:4" x14ac:dyDescent="0.3">
      <c r="C85" s="6" t="s">
        <v>15</v>
      </c>
      <c r="D85">
        <v>247.33333333333334</v>
      </c>
    </row>
    <row r="86" spans="1:4" x14ac:dyDescent="0.3">
      <c r="C86" s="6" t="s">
        <v>21</v>
      </c>
      <c r="D86">
        <v>417.58333333333331</v>
      </c>
    </row>
    <row r="87" spans="1:4" x14ac:dyDescent="0.3">
      <c r="C87" s="6" t="s">
        <v>60</v>
      </c>
      <c r="D87">
        <v>236.16666666666666</v>
      </c>
    </row>
    <row r="88" spans="1:4" x14ac:dyDescent="0.3">
      <c r="C88" s="6" t="s">
        <v>38</v>
      </c>
      <c r="D88">
        <v>295.27272727272725</v>
      </c>
    </row>
    <row r="89" spans="1:4" x14ac:dyDescent="0.3">
      <c r="C89" s="6" t="s">
        <v>33</v>
      </c>
      <c r="D89">
        <v>281.58333333333331</v>
      </c>
    </row>
    <row r="90" spans="1:4" x14ac:dyDescent="0.3">
      <c r="C90" s="6" t="s">
        <v>8</v>
      </c>
      <c r="D90">
        <v>359.4</v>
      </c>
    </row>
    <row r="91" spans="1:4" x14ac:dyDescent="0.3">
      <c r="C91" s="6" t="s">
        <v>55</v>
      </c>
      <c r="D91">
        <v>339.23076923076923</v>
      </c>
    </row>
    <row r="92" spans="1:4" x14ac:dyDescent="0.3">
      <c r="C92" s="6" t="s">
        <v>46</v>
      </c>
      <c r="D92">
        <v>279.90909090909093</v>
      </c>
    </row>
    <row r="93" spans="1:4" x14ac:dyDescent="0.3">
      <c r="C93" s="6" t="s">
        <v>140</v>
      </c>
      <c r="D93">
        <v>306.92682926829269</v>
      </c>
    </row>
    <row r="96" spans="1:4" x14ac:dyDescent="0.3">
      <c r="A96" t="s">
        <v>152</v>
      </c>
    </row>
    <row r="98" spans="3:4" x14ac:dyDescent="0.3">
      <c r="C98" s="5" t="s">
        <v>139</v>
      </c>
      <c r="D98" t="s">
        <v>141</v>
      </c>
    </row>
    <row r="99" spans="3:4" x14ac:dyDescent="0.3">
      <c r="C99" s="6" t="s">
        <v>42</v>
      </c>
      <c r="D99">
        <v>4722</v>
      </c>
    </row>
    <row r="100" spans="3:4" x14ac:dyDescent="0.3">
      <c r="C100" s="6" t="s">
        <v>50</v>
      </c>
      <c r="D100">
        <v>8030</v>
      </c>
    </row>
    <row r="101" spans="3:4" x14ac:dyDescent="0.3">
      <c r="C101" s="6" t="s">
        <v>27</v>
      </c>
      <c r="D101">
        <v>5368</v>
      </c>
    </row>
    <row r="102" spans="3:4" x14ac:dyDescent="0.3">
      <c r="C102" s="6" t="s">
        <v>15</v>
      </c>
      <c r="D102">
        <v>4893</v>
      </c>
    </row>
    <row r="103" spans="3:4" x14ac:dyDescent="0.3">
      <c r="C103" s="6" t="s">
        <v>21</v>
      </c>
      <c r="D103">
        <v>8211</v>
      </c>
    </row>
    <row r="104" spans="3:4" x14ac:dyDescent="0.3">
      <c r="C104" s="6" t="s">
        <v>60</v>
      </c>
      <c r="D104">
        <v>4645</v>
      </c>
    </row>
    <row r="105" spans="3:4" x14ac:dyDescent="0.3">
      <c r="C105" s="6" t="s">
        <v>38</v>
      </c>
      <c r="D105">
        <v>5322</v>
      </c>
    </row>
    <row r="106" spans="3:4" x14ac:dyDescent="0.3">
      <c r="C106" s="6" t="s">
        <v>33</v>
      </c>
      <c r="D106">
        <v>5577</v>
      </c>
    </row>
    <row r="107" spans="3:4" x14ac:dyDescent="0.3">
      <c r="C107" s="6" t="s">
        <v>8</v>
      </c>
      <c r="D107">
        <v>2992</v>
      </c>
    </row>
    <row r="108" spans="3:4" x14ac:dyDescent="0.3">
      <c r="C108" s="6" t="s">
        <v>55</v>
      </c>
      <c r="D108">
        <v>7231</v>
      </c>
    </row>
    <row r="109" spans="3:4" x14ac:dyDescent="0.3">
      <c r="C109" s="6" t="s">
        <v>46</v>
      </c>
      <c r="D109">
        <v>5046</v>
      </c>
    </row>
    <row r="110" spans="3:4" x14ac:dyDescent="0.3">
      <c r="C110" s="6" t="s">
        <v>140</v>
      </c>
      <c r="D110">
        <v>62037</v>
      </c>
    </row>
    <row r="113" spans="1:4" x14ac:dyDescent="0.3">
      <c r="A113" t="s">
        <v>153</v>
      </c>
    </row>
    <row r="115" spans="1:4" x14ac:dyDescent="0.3">
      <c r="C115" s="5" t="s">
        <v>139</v>
      </c>
      <c r="D115" t="s">
        <v>141</v>
      </c>
    </row>
    <row r="116" spans="1:4" x14ac:dyDescent="0.3">
      <c r="C116" s="6" t="s">
        <v>28</v>
      </c>
      <c r="D116">
        <v>19173</v>
      </c>
    </row>
    <row r="117" spans="1:4" x14ac:dyDescent="0.3">
      <c r="C117" s="6" t="s">
        <v>16</v>
      </c>
      <c r="D117">
        <v>8687</v>
      </c>
    </row>
    <row r="118" spans="1:4" x14ac:dyDescent="0.3">
      <c r="C118" s="6" t="s">
        <v>9</v>
      </c>
      <c r="D118">
        <v>16952</v>
      </c>
    </row>
    <row r="119" spans="1:4" x14ac:dyDescent="0.3">
      <c r="C119" s="6" t="s">
        <v>22</v>
      </c>
      <c r="D119">
        <v>17225</v>
      </c>
    </row>
    <row r="120" spans="1:4" x14ac:dyDescent="0.3">
      <c r="C120" s="6" t="s">
        <v>140</v>
      </c>
      <c r="D120">
        <v>62037</v>
      </c>
    </row>
    <row r="122" spans="1:4" x14ac:dyDescent="0.3">
      <c r="A122" t="s">
        <v>154</v>
      </c>
    </row>
    <row r="124" spans="1:4" x14ac:dyDescent="0.3">
      <c r="B124" t="s">
        <v>141</v>
      </c>
    </row>
    <row r="125" spans="1:4" x14ac:dyDescent="0.3">
      <c r="B125" s="7">
        <v>62037</v>
      </c>
    </row>
    <row r="128" spans="1:4" x14ac:dyDescent="0.3">
      <c r="A128" t="s">
        <v>155</v>
      </c>
    </row>
    <row r="130" spans="1:8" x14ac:dyDescent="0.3">
      <c r="B130" s="5" t="s">
        <v>139</v>
      </c>
      <c r="C130" t="s">
        <v>166</v>
      </c>
    </row>
    <row r="131" spans="1:8" x14ac:dyDescent="0.3">
      <c r="B131" s="6" t="s">
        <v>53</v>
      </c>
      <c r="C131" s="7">
        <v>28</v>
      </c>
    </row>
    <row r="132" spans="1:8" x14ac:dyDescent="0.3">
      <c r="B132" s="6" t="s">
        <v>140</v>
      </c>
      <c r="C132" s="7">
        <v>28</v>
      </c>
    </row>
    <row r="134" spans="1:8" x14ac:dyDescent="0.3">
      <c r="A134" t="s">
        <v>156</v>
      </c>
    </row>
    <row r="137" spans="1:8" x14ac:dyDescent="0.3">
      <c r="C137" s="5" t="s">
        <v>139</v>
      </c>
      <c r="D137" t="s">
        <v>148</v>
      </c>
      <c r="G137" s="5" t="s">
        <v>139</v>
      </c>
      <c r="H137" t="s">
        <v>167</v>
      </c>
    </row>
    <row r="138" spans="1:8" x14ac:dyDescent="0.3">
      <c r="C138" s="6" t="s">
        <v>22</v>
      </c>
      <c r="D138" s="7">
        <v>999</v>
      </c>
      <c r="G138" s="6" t="s">
        <v>28</v>
      </c>
      <c r="H138" s="7">
        <v>123</v>
      </c>
    </row>
    <row r="139" spans="1:8" x14ac:dyDescent="0.3">
      <c r="C139" s="6" t="s">
        <v>140</v>
      </c>
      <c r="D139" s="7">
        <v>999</v>
      </c>
      <c r="G139" s="6" t="s">
        <v>140</v>
      </c>
      <c r="H139" s="7">
        <v>123</v>
      </c>
    </row>
    <row r="143" spans="1:8" x14ac:dyDescent="0.3">
      <c r="A143" t="s">
        <v>157</v>
      </c>
    </row>
    <row r="146" spans="1:5" x14ac:dyDescent="0.3">
      <c r="C146" s="5" t="s">
        <v>139</v>
      </c>
      <c r="D146" t="s">
        <v>138</v>
      </c>
      <c r="E146" t="s">
        <v>141</v>
      </c>
    </row>
    <row r="147" spans="1:5" x14ac:dyDescent="0.3">
      <c r="C147" s="6" t="s">
        <v>21</v>
      </c>
      <c r="D147" s="7">
        <v>212</v>
      </c>
      <c r="E147" s="7">
        <v>8211</v>
      </c>
    </row>
    <row r="148" spans="1:5" x14ac:dyDescent="0.3">
      <c r="C148" s="6" t="s">
        <v>140</v>
      </c>
      <c r="D148" s="7">
        <v>212</v>
      </c>
      <c r="E148" s="7">
        <v>8211</v>
      </c>
    </row>
    <row r="152" spans="1:5" x14ac:dyDescent="0.3">
      <c r="A152" t="s">
        <v>158</v>
      </c>
    </row>
    <row r="155" spans="1:5" x14ac:dyDescent="0.3">
      <c r="C155" s="5" t="s">
        <v>139</v>
      </c>
      <c r="D155" t="s">
        <v>159</v>
      </c>
    </row>
    <row r="156" spans="1:5" x14ac:dyDescent="0.3">
      <c r="C156" s="6" t="s">
        <v>60</v>
      </c>
      <c r="D156">
        <v>56.5</v>
      </c>
    </row>
    <row r="157" spans="1:5" x14ac:dyDescent="0.3">
      <c r="C157" s="6" t="s">
        <v>140</v>
      </c>
      <c r="D157">
        <v>56.5</v>
      </c>
    </row>
    <row r="160" spans="1:5" x14ac:dyDescent="0.3">
      <c r="A160" t="s">
        <v>160</v>
      </c>
    </row>
    <row r="162" spans="1:8" x14ac:dyDescent="0.3">
      <c r="C162" s="5" t="s">
        <v>139</v>
      </c>
      <c r="D162" t="s">
        <v>161</v>
      </c>
    </row>
    <row r="163" spans="1:8" x14ac:dyDescent="0.3">
      <c r="C163" s="6" t="s">
        <v>15</v>
      </c>
      <c r="D163" s="7">
        <v>5.5909000000000004</v>
      </c>
    </row>
    <row r="164" spans="1:8" x14ac:dyDescent="0.3">
      <c r="C164" s="6" t="s">
        <v>140</v>
      </c>
      <c r="D164" s="7">
        <v>5.5909000000000004</v>
      </c>
    </row>
    <row r="166" spans="1:8" x14ac:dyDescent="0.3">
      <c r="A166" t="s">
        <v>163</v>
      </c>
    </row>
    <row r="169" spans="1:8" x14ac:dyDescent="0.3">
      <c r="C169" s="5" t="s">
        <v>148</v>
      </c>
      <c r="D169" s="5" t="s">
        <v>162</v>
      </c>
    </row>
    <row r="170" spans="1:8" x14ac:dyDescent="0.3">
      <c r="C170" s="5" t="s">
        <v>139</v>
      </c>
      <c r="D170" t="s">
        <v>28</v>
      </c>
      <c r="E170" t="s">
        <v>16</v>
      </c>
      <c r="F170" t="s">
        <v>9</v>
      </c>
      <c r="G170" t="s">
        <v>22</v>
      </c>
      <c r="H170" t="s">
        <v>140</v>
      </c>
    </row>
    <row r="171" spans="1:8" x14ac:dyDescent="0.3">
      <c r="C171" s="6" t="s">
        <v>42</v>
      </c>
      <c r="D171" s="7">
        <v>777</v>
      </c>
      <c r="E171" s="7">
        <v>356</v>
      </c>
      <c r="F171" s="7">
        <v>715</v>
      </c>
      <c r="G171" s="7">
        <v>689</v>
      </c>
      <c r="H171" s="7">
        <v>777</v>
      </c>
    </row>
    <row r="172" spans="1:8" x14ac:dyDescent="0.3">
      <c r="C172" s="6" t="s">
        <v>50</v>
      </c>
      <c r="D172" s="7">
        <v>798</v>
      </c>
      <c r="E172" s="7">
        <v>199</v>
      </c>
      <c r="F172" s="7">
        <v>988</v>
      </c>
      <c r="G172" s="7">
        <v>712</v>
      </c>
      <c r="H172" s="7">
        <v>988</v>
      </c>
    </row>
    <row r="173" spans="1:8" x14ac:dyDescent="0.3">
      <c r="C173" s="6" t="s">
        <v>27</v>
      </c>
      <c r="D173" s="7">
        <v>789</v>
      </c>
      <c r="E173" s="7"/>
      <c r="F173" s="7">
        <v>127</v>
      </c>
      <c r="G173" s="7">
        <v>999</v>
      </c>
      <c r="H173" s="7">
        <v>999</v>
      </c>
    </row>
    <row r="174" spans="1:8" x14ac:dyDescent="0.3">
      <c r="C174" s="6" t="s">
        <v>15</v>
      </c>
      <c r="D174" s="7">
        <v>187</v>
      </c>
      <c r="E174" s="7">
        <v>489</v>
      </c>
      <c r="F174" s="7">
        <v>541</v>
      </c>
      <c r="G174" s="7">
        <v>786</v>
      </c>
      <c r="H174" s="7">
        <v>786</v>
      </c>
    </row>
    <row r="175" spans="1:8" x14ac:dyDescent="0.3">
      <c r="C175" s="6" t="s">
        <v>21</v>
      </c>
      <c r="D175" s="7">
        <v>989</v>
      </c>
      <c r="E175" s="7">
        <v>864</v>
      </c>
      <c r="F175" s="7">
        <v>786</v>
      </c>
      <c r="G175" s="7">
        <v>911</v>
      </c>
      <c r="H175" s="7">
        <v>989</v>
      </c>
    </row>
    <row r="176" spans="1:8" x14ac:dyDescent="0.3">
      <c r="C176" s="6" t="s">
        <v>60</v>
      </c>
      <c r="D176" s="7">
        <v>467</v>
      </c>
      <c r="E176" s="7">
        <v>678</v>
      </c>
      <c r="F176" s="7"/>
      <c r="G176" s="7"/>
      <c r="H176" s="7">
        <v>678</v>
      </c>
    </row>
    <row r="177" spans="1:8" x14ac:dyDescent="0.3">
      <c r="C177" s="6" t="s">
        <v>38</v>
      </c>
      <c r="D177" s="7">
        <v>999</v>
      </c>
      <c r="E177" s="7">
        <v>777</v>
      </c>
      <c r="F177" s="7">
        <v>699</v>
      </c>
      <c r="G177" s="7">
        <v>223</v>
      </c>
      <c r="H177" s="7">
        <v>999</v>
      </c>
    </row>
    <row r="178" spans="1:8" x14ac:dyDescent="0.3">
      <c r="C178" s="6" t="s">
        <v>33</v>
      </c>
      <c r="D178" s="7">
        <v>785</v>
      </c>
      <c r="E178" s="7">
        <v>722</v>
      </c>
      <c r="F178" s="7">
        <v>789</v>
      </c>
      <c r="G178" s="7">
        <v>223</v>
      </c>
      <c r="H178" s="7">
        <v>789</v>
      </c>
    </row>
    <row r="179" spans="1:8" x14ac:dyDescent="0.3">
      <c r="C179" s="6" t="s">
        <v>8</v>
      </c>
      <c r="D179" s="7"/>
      <c r="E179" s="7"/>
      <c r="F179" s="7">
        <v>792</v>
      </c>
      <c r="G179" s="7"/>
      <c r="H179" s="7">
        <v>792</v>
      </c>
    </row>
    <row r="180" spans="1:8" x14ac:dyDescent="0.3">
      <c r="C180" s="6" t="s">
        <v>55</v>
      </c>
      <c r="D180" s="7">
        <v>765</v>
      </c>
      <c r="E180" s="7"/>
      <c r="F180" s="7">
        <v>355</v>
      </c>
      <c r="G180" s="7">
        <v>879</v>
      </c>
      <c r="H180" s="7">
        <v>879</v>
      </c>
    </row>
    <row r="181" spans="1:8" x14ac:dyDescent="0.3">
      <c r="C181" s="6" t="s">
        <v>46</v>
      </c>
      <c r="D181" s="7">
        <v>777</v>
      </c>
      <c r="E181" s="7">
        <v>288</v>
      </c>
      <c r="F181" s="7">
        <v>186</v>
      </c>
      <c r="G181" s="7">
        <v>555</v>
      </c>
      <c r="H181" s="7">
        <v>777</v>
      </c>
    </row>
    <row r="182" spans="1:8" x14ac:dyDescent="0.3">
      <c r="C182" s="6" t="s">
        <v>140</v>
      </c>
      <c r="D182" s="7">
        <v>999</v>
      </c>
      <c r="E182" s="7">
        <v>864</v>
      </c>
      <c r="F182" s="7">
        <v>988</v>
      </c>
      <c r="G182" s="7">
        <v>999</v>
      </c>
      <c r="H182" s="7">
        <v>999</v>
      </c>
    </row>
    <row r="185" spans="1:8" x14ac:dyDescent="0.3">
      <c r="A185" t="s">
        <v>164</v>
      </c>
    </row>
    <row r="188" spans="1:8" x14ac:dyDescent="0.3">
      <c r="B188" s="5" t="s">
        <v>139</v>
      </c>
      <c r="C188" t="s">
        <v>142</v>
      </c>
    </row>
    <row r="189" spans="1:8" x14ac:dyDescent="0.3">
      <c r="B189" s="6" t="s">
        <v>42</v>
      </c>
      <c r="C189" s="7">
        <v>429.27272727272725</v>
      </c>
    </row>
    <row r="190" spans="1:8" x14ac:dyDescent="0.3">
      <c r="B190" s="6" t="s">
        <v>50</v>
      </c>
      <c r="C190" s="7">
        <v>669.16666666666663</v>
      </c>
    </row>
    <row r="191" spans="1:8" x14ac:dyDescent="0.3">
      <c r="B191" s="6" t="s">
        <v>27</v>
      </c>
      <c r="C191" s="7">
        <v>447.33333333333331</v>
      </c>
    </row>
    <row r="192" spans="1:8" x14ac:dyDescent="0.3">
      <c r="B192" s="6" t="s">
        <v>15</v>
      </c>
      <c r="C192" s="7">
        <v>407.75</v>
      </c>
    </row>
    <row r="193" spans="1:8" x14ac:dyDescent="0.3">
      <c r="B193" s="6" t="s">
        <v>21</v>
      </c>
      <c r="C193" s="7">
        <v>684.25</v>
      </c>
    </row>
    <row r="194" spans="1:8" x14ac:dyDescent="0.3">
      <c r="B194" s="6" t="s">
        <v>60</v>
      </c>
      <c r="C194" s="7">
        <v>387.08333333333331</v>
      </c>
    </row>
    <row r="195" spans="1:8" x14ac:dyDescent="0.3">
      <c r="B195" s="6" t="s">
        <v>38</v>
      </c>
      <c r="C195" s="7">
        <v>483.81818181818181</v>
      </c>
    </row>
    <row r="196" spans="1:8" x14ac:dyDescent="0.3">
      <c r="B196" s="6" t="s">
        <v>33</v>
      </c>
      <c r="C196" s="7">
        <v>464.75</v>
      </c>
    </row>
    <row r="197" spans="1:8" x14ac:dyDescent="0.3">
      <c r="B197" s="6" t="s">
        <v>8</v>
      </c>
      <c r="C197" s="7">
        <v>598.4</v>
      </c>
    </row>
    <row r="198" spans="1:8" x14ac:dyDescent="0.3">
      <c r="B198" s="6" t="s">
        <v>55</v>
      </c>
      <c r="C198" s="7">
        <v>556.23076923076928</v>
      </c>
    </row>
    <row r="199" spans="1:8" x14ac:dyDescent="0.3">
      <c r="B199" s="6" t="s">
        <v>46</v>
      </c>
      <c r="C199" s="7">
        <v>458.72727272727275</v>
      </c>
    </row>
    <row r="200" spans="1:8" x14ac:dyDescent="0.3">
      <c r="B200" s="6" t="s">
        <v>140</v>
      </c>
      <c r="C200" s="7">
        <v>504.36585365853659</v>
      </c>
    </row>
    <row r="203" spans="1:8" x14ac:dyDescent="0.3">
      <c r="A203" t="s">
        <v>165</v>
      </c>
    </row>
    <row r="206" spans="1:8" x14ac:dyDescent="0.3">
      <c r="C206" s="5" t="s">
        <v>141</v>
      </c>
      <c r="D206" s="5" t="s">
        <v>162</v>
      </c>
    </row>
    <row r="207" spans="1:8" x14ac:dyDescent="0.3">
      <c r="C207" s="5" t="s">
        <v>139</v>
      </c>
      <c r="D207" t="s">
        <v>28</v>
      </c>
      <c r="E207" t="s">
        <v>16</v>
      </c>
      <c r="F207" t="s">
        <v>9</v>
      </c>
      <c r="G207" t="s">
        <v>22</v>
      </c>
      <c r="H207" t="s">
        <v>140</v>
      </c>
    </row>
    <row r="208" spans="1:8" x14ac:dyDescent="0.3">
      <c r="C208" s="6" t="s">
        <v>42</v>
      </c>
      <c r="D208" s="7">
        <v>777</v>
      </c>
      <c r="E208" s="7">
        <v>356</v>
      </c>
      <c r="F208" s="7">
        <v>1166</v>
      </c>
      <c r="G208" s="7">
        <v>2423</v>
      </c>
      <c r="H208" s="7">
        <v>4722</v>
      </c>
    </row>
    <row r="209" spans="1:8" x14ac:dyDescent="0.3">
      <c r="C209" s="6" t="s">
        <v>50</v>
      </c>
      <c r="D209" s="7">
        <v>1453</v>
      </c>
      <c r="E209" s="7">
        <v>199</v>
      </c>
      <c r="F209" s="7">
        <v>5666</v>
      </c>
      <c r="G209" s="7">
        <v>712</v>
      </c>
      <c r="H209" s="7">
        <v>8030</v>
      </c>
    </row>
    <row r="210" spans="1:8" x14ac:dyDescent="0.3">
      <c r="C210" s="6" t="s">
        <v>27</v>
      </c>
      <c r="D210" s="7">
        <v>3289</v>
      </c>
      <c r="E210" s="7"/>
      <c r="F210" s="7">
        <v>127</v>
      </c>
      <c r="G210" s="7">
        <v>1952</v>
      </c>
      <c r="H210" s="7">
        <v>5368</v>
      </c>
    </row>
    <row r="211" spans="1:8" x14ac:dyDescent="0.3">
      <c r="C211" s="6" t="s">
        <v>15</v>
      </c>
      <c r="D211" s="7">
        <v>187</v>
      </c>
      <c r="E211" s="7">
        <v>1527</v>
      </c>
      <c r="F211" s="7">
        <v>541</v>
      </c>
      <c r="G211" s="7">
        <v>2638</v>
      </c>
      <c r="H211" s="7">
        <v>4893</v>
      </c>
    </row>
    <row r="212" spans="1:8" x14ac:dyDescent="0.3">
      <c r="C212" s="6" t="s">
        <v>21</v>
      </c>
      <c r="D212" s="7">
        <v>989</v>
      </c>
      <c r="E212" s="7">
        <v>864</v>
      </c>
      <c r="F212" s="7">
        <v>2961</v>
      </c>
      <c r="G212" s="7">
        <v>3397</v>
      </c>
      <c r="H212" s="7">
        <v>8211</v>
      </c>
    </row>
    <row r="213" spans="1:8" x14ac:dyDescent="0.3">
      <c r="C213" s="6" t="s">
        <v>60</v>
      </c>
      <c r="D213" s="7">
        <v>1857</v>
      </c>
      <c r="E213" s="7">
        <v>2788</v>
      </c>
      <c r="F213" s="7"/>
      <c r="G213" s="7"/>
      <c r="H213" s="7">
        <v>4645</v>
      </c>
    </row>
    <row r="214" spans="1:8" x14ac:dyDescent="0.3">
      <c r="C214" s="6" t="s">
        <v>38</v>
      </c>
      <c r="D214" s="7">
        <v>3399</v>
      </c>
      <c r="E214" s="7">
        <v>1001</v>
      </c>
      <c r="F214" s="7">
        <v>699</v>
      </c>
      <c r="G214" s="7">
        <v>223</v>
      </c>
      <c r="H214" s="7">
        <v>5322</v>
      </c>
    </row>
    <row r="215" spans="1:8" x14ac:dyDescent="0.3">
      <c r="C215" s="6" t="s">
        <v>33</v>
      </c>
      <c r="D215" s="7">
        <v>1431</v>
      </c>
      <c r="E215" s="7">
        <v>1664</v>
      </c>
      <c r="F215" s="7">
        <v>2259</v>
      </c>
      <c r="G215" s="7">
        <v>223</v>
      </c>
      <c r="H215" s="7">
        <v>5577</v>
      </c>
    </row>
    <row r="216" spans="1:8" x14ac:dyDescent="0.3">
      <c r="C216" s="6" t="s">
        <v>8</v>
      </c>
      <c r="D216" s="7"/>
      <c r="E216" s="7"/>
      <c r="F216" s="7">
        <v>2992</v>
      </c>
      <c r="G216" s="7"/>
      <c r="H216" s="7">
        <v>2992</v>
      </c>
    </row>
    <row r="217" spans="1:8" x14ac:dyDescent="0.3">
      <c r="C217" s="6" t="s">
        <v>55</v>
      </c>
      <c r="D217" s="7">
        <v>2923</v>
      </c>
      <c r="E217" s="7"/>
      <c r="F217" s="7">
        <v>355</v>
      </c>
      <c r="G217" s="7">
        <v>3953</v>
      </c>
      <c r="H217" s="7">
        <v>7231</v>
      </c>
    </row>
    <row r="218" spans="1:8" x14ac:dyDescent="0.3">
      <c r="C218" s="6" t="s">
        <v>46</v>
      </c>
      <c r="D218" s="7">
        <v>2868</v>
      </c>
      <c r="E218" s="7">
        <v>288</v>
      </c>
      <c r="F218" s="7">
        <v>186</v>
      </c>
      <c r="G218" s="7">
        <v>1704</v>
      </c>
      <c r="H218" s="7">
        <v>5046</v>
      </c>
    </row>
    <row r="219" spans="1:8" x14ac:dyDescent="0.3">
      <c r="C219" s="6" t="s">
        <v>140</v>
      </c>
      <c r="D219" s="7">
        <v>19173</v>
      </c>
      <c r="E219" s="7">
        <v>8687</v>
      </c>
      <c r="F219" s="7">
        <v>16952</v>
      </c>
      <c r="G219" s="7">
        <v>17225</v>
      </c>
      <c r="H219" s="7">
        <v>62037</v>
      </c>
    </row>
    <row r="222" spans="1:8" x14ac:dyDescent="0.3">
      <c r="A222" t="s">
        <v>168</v>
      </c>
    </row>
    <row r="224" spans="1:8" x14ac:dyDescent="0.3">
      <c r="B224" s="5" t="s">
        <v>2</v>
      </c>
      <c r="C224" t="s">
        <v>9</v>
      </c>
    </row>
    <row r="226" spans="1:4" x14ac:dyDescent="0.3">
      <c r="B226" s="5" t="s">
        <v>139</v>
      </c>
      <c r="C226" t="s">
        <v>148</v>
      </c>
    </row>
    <row r="227" spans="1:4" x14ac:dyDescent="0.3">
      <c r="B227" s="6" t="s">
        <v>82</v>
      </c>
      <c r="C227" s="7">
        <v>988</v>
      </c>
    </row>
    <row r="228" spans="1:4" x14ac:dyDescent="0.3">
      <c r="B228" s="6" t="s">
        <v>140</v>
      </c>
      <c r="C228" s="7">
        <v>988</v>
      </c>
    </row>
    <row r="230" spans="1:4" x14ac:dyDescent="0.3">
      <c r="A230" s="3" t="s">
        <v>123</v>
      </c>
    </row>
    <row r="232" spans="1:4" x14ac:dyDescent="0.3">
      <c r="C232" t="s">
        <v>141</v>
      </c>
    </row>
    <row r="233" spans="1:4" x14ac:dyDescent="0.3">
      <c r="C233" s="7">
        <v>62037</v>
      </c>
    </row>
    <row r="235" spans="1:4" x14ac:dyDescent="0.3">
      <c r="A235" s="3" t="s">
        <v>124</v>
      </c>
    </row>
    <row r="237" spans="1:4" x14ac:dyDescent="0.3">
      <c r="C237" s="5" t="s">
        <v>139</v>
      </c>
      <c r="D237" t="s">
        <v>141</v>
      </c>
    </row>
    <row r="238" spans="1:4" x14ac:dyDescent="0.3">
      <c r="C238" s="6" t="s">
        <v>28</v>
      </c>
      <c r="D238" s="7">
        <v>19173</v>
      </c>
    </row>
    <row r="239" spans="1:4" x14ac:dyDescent="0.3">
      <c r="C239" s="6" t="s">
        <v>16</v>
      </c>
      <c r="D239" s="7">
        <v>8687</v>
      </c>
    </row>
    <row r="240" spans="1:4" x14ac:dyDescent="0.3">
      <c r="C240" s="6" t="s">
        <v>9</v>
      </c>
      <c r="D240" s="7">
        <v>16952</v>
      </c>
    </row>
    <row r="241" spans="1:4" x14ac:dyDescent="0.3">
      <c r="C241" s="6" t="s">
        <v>22</v>
      </c>
      <c r="D241" s="7">
        <v>17225</v>
      </c>
    </row>
    <row r="242" spans="1:4" x14ac:dyDescent="0.3">
      <c r="C242" s="6" t="s">
        <v>140</v>
      </c>
      <c r="D242" s="7">
        <v>62037</v>
      </c>
    </row>
    <row r="244" spans="1:4" x14ac:dyDescent="0.3">
      <c r="A244" s="3" t="s">
        <v>125</v>
      </c>
    </row>
    <row r="246" spans="1:4" x14ac:dyDescent="0.3">
      <c r="C246" t="s">
        <v>138</v>
      </c>
    </row>
    <row r="247" spans="1:4" x14ac:dyDescent="0.3">
      <c r="C247" s="7">
        <v>1775</v>
      </c>
    </row>
    <row r="249" spans="1:4" x14ac:dyDescent="0.3">
      <c r="A249" s="3" t="s">
        <v>126</v>
      </c>
    </row>
    <row r="251" spans="1:4" x14ac:dyDescent="0.3">
      <c r="C251" s="5" t="s">
        <v>139</v>
      </c>
    </row>
    <row r="252" spans="1:4" x14ac:dyDescent="0.3">
      <c r="C252" s="6" t="s">
        <v>42</v>
      </c>
    </row>
    <row r="253" spans="1:4" x14ac:dyDescent="0.3">
      <c r="C253" s="6" t="s">
        <v>50</v>
      </c>
    </row>
    <row r="254" spans="1:4" x14ac:dyDescent="0.3">
      <c r="C254" s="6" t="s">
        <v>27</v>
      </c>
    </row>
    <row r="255" spans="1:4" x14ac:dyDescent="0.3">
      <c r="C255" s="6" t="s">
        <v>15</v>
      </c>
    </row>
    <row r="256" spans="1:4" x14ac:dyDescent="0.3">
      <c r="C256" s="6" t="s">
        <v>21</v>
      </c>
    </row>
    <row r="257" spans="1:3" x14ac:dyDescent="0.3">
      <c r="C257" s="6" t="s">
        <v>60</v>
      </c>
    </row>
    <row r="258" spans="1:3" x14ac:dyDescent="0.3">
      <c r="C258" s="6" t="s">
        <v>38</v>
      </c>
    </row>
    <row r="259" spans="1:3" x14ac:dyDescent="0.3">
      <c r="C259" s="6" t="s">
        <v>33</v>
      </c>
    </row>
    <row r="260" spans="1:3" x14ac:dyDescent="0.3">
      <c r="C260" s="6" t="s">
        <v>8</v>
      </c>
    </row>
    <row r="261" spans="1:3" x14ac:dyDescent="0.3">
      <c r="C261" s="6" t="s">
        <v>55</v>
      </c>
    </row>
    <row r="262" spans="1:3" x14ac:dyDescent="0.3">
      <c r="C262" s="6" t="s">
        <v>46</v>
      </c>
    </row>
    <row r="263" spans="1:3" x14ac:dyDescent="0.3">
      <c r="C263" s="6" t="s">
        <v>140</v>
      </c>
    </row>
    <row r="266" spans="1:3" x14ac:dyDescent="0.3">
      <c r="A266" s="3" t="s">
        <v>127</v>
      </c>
    </row>
    <row r="269" spans="1:3" x14ac:dyDescent="0.3">
      <c r="A269" s="3" t="s">
        <v>129</v>
      </c>
    </row>
    <row r="271" spans="1:3" x14ac:dyDescent="0.3">
      <c r="B271" s="5" t="s">
        <v>139</v>
      </c>
      <c r="C271" t="s">
        <v>141</v>
      </c>
    </row>
    <row r="272" spans="1:3" x14ac:dyDescent="0.3">
      <c r="B272" s="6" t="s">
        <v>42</v>
      </c>
      <c r="C272" s="7">
        <v>4722</v>
      </c>
    </row>
    <row r="273" spans="1:3" x14ac:dyDescent="0.3">
      <c r="B273" s="6" t="s">
        <v>50</v>
      </c>
      <c r="C273" s="7">
        <v>8030</v>
      </c>
    </row>
    <row r="274" spans="1:3" x14ac:dyDescent="0.3">
      <c r="B274" s="6" t="s">
        <v>27</v>
      </c>
      <c r="C274" s="7">
        <v>5368</v>
      </c>
    </row>
    <row r="275" spans="1:3" x14ac:dyDescent="0.3">
      <c r="B275" s="6" t="s">
        <v>15</v>
      </c>
      <c r="C275" s="7">
        <v>4893</v>
      </c>
    </row>
    <row r="276" spans="1:3" x14ac:dyDescent="0.3">
      <c r="B276" s="6" t="s">
        <v>21</v>
      </c>
      <c r="C276" s="7">
        <v>8211</v>
      </c>
    </row>
    <row r="277" spans="1:3" x14ac:dyDescent="0.3">
      <c r="B277" s="6" t="s">
        <v>60</v>
      </c>
      <c r="C277" s="7">
        <v>4645</v>
      </c>
    </row>
    <row r="278" spans="1:3" x14ac:dyDescent="0.3">
      <c r="B278" s="6" t="s">
        <v>38</v>
      </c>
      <c r="C278" s="7">
        <v>5322</v>
      </c>
    </row>
    <row r="279" spans="1:3" x14ac:dyDescent="0.3">
      <c r="B279" s="6" t="s">
        <v>33</v>
      </c>
      <c r="C279" s="7">
        <v>5577</v>
      </c>
    </row>
    <row r="280" spans="1:3" x14ac:dyDescent="0.3">
      <c r="B280" s="6" t="s">
        <v>8</v>
      </c>
      <c r="C280" s="7">
        <v>2992</v>
      </c>
    </row>
    <row r="281" spans="1:3" x14ac:dyDescent="0.3">
      <c r="B281" s="6" t="s">
        <v>55</v>
      </c>
      <c r="C281" s="7">
        <v>7231</v>
      </c>
    </row>
    <row r="282" spans="1:3" x14ac:dyDescent="0.3">
      <c r="B282" s="6" t="s">
        <v>46</v>
      </c>
      <c r="C282" s="7">
        <v>5046</v>
      </c>
    </row>
    <row r="283" spans="1:3" x14ac:dyDescent="0.3">
      <c r="B283" s="6" t="s">
        <v>140</v>
      </c>
      <c r="C283" s="7">
        <v>62037</v>
      </c>
    </row>
    <row r="285" spans="1:3" x14ac:dyDescent="0.3">
      <c r="A285" s="3" t="s">
        <v>130</v>
      </c>
    </row>
    <row r="287" spans="1:3" x14ac:dyDescent="0.3">
      <c r="B287" s="5" t="s">
        <v>139</v>
      </c>
      <c r="C287" t="s">
        <v>148</v>
      </c>
    </row>
    <row r="288" spans="1:3" x14ac:dyDescent="0.3">
      <c r="B288" s="6" t="s">
        <v>71</v>
      </c>
      <c r="C288" s="7">
        <v>999</v>
      </c>
    </row>
    <row r="289" spans="1:3" x14ac:dyDescent="0.3">
      <c r="B289" s="6" t="s">
        <v>140</v>
      </c>
      <c r="C289" s="7">
        <v>999</v>
      </c>
    </row>
    <row r="292" spans="1:3" x14ac:dyDescent="0.3">
      <c r="A292" s="3" t="s">
        <v>131</v>
      </c>
    </row>
    <row r="294" spans="1:3" x14ac:dyDescent="0.3">
      <c r="B294" t="s">
        <v>170</v>
      </c>
    </row>
    <row r="295" spans="1:3" x14ac:dyDescent="0.3">
      <c r="B295" s="7">
        <v>123</v>
      </c>
    </row>
    <row r="297" spans="1:3" x14ac:dyDescent="0.3">
      <c r="A297" s="3" t="s">
        <v>132</v>
      </c>
    </row>
    <row r="299" spans="1:3" x14ac:dyDescent="0.3">
      <c r="B299" s="5" t="s">
        <v>2</v>
      </c>
      <c r="C299" t="s">
        <v>9</v>
      </c>
    </row>
    <row r="301" spans="1:3" x14ac:dyDescent="0.3">
      <c r="B301" s="5" t="s">
        <v>139</v>
      </c>
      <c r="C301" t="s">
        <v>148</v>
      </c>
    </row>
    <row r="302" spans="1:3" x14ac:dyDescent="0.3">
      <c r="B302" s="6" t="s">
        <v>50</v>
      </c>
      <c r="C302" s="7">
        <v>988</v>
      </c>
    </row>
    <row r="303" spans="1:3" x14ac:dyDescent="0.3">
      <c r="B303" s="6" t="s">
        <v>140</v>
      </c>
      <c r="C303" s="7">
        <v>988</v>
      </c>
    </row>
    <row r="305" spans="1:9" x14ac:dyDescent="0.3">
      <c r="A305" s="3" t="s">
        <v>133</v>
      </c>
    </row>
    <row r="307" spans="1:9" x14ac:dyDescent="0.3">
      <c r="B307" s="5" t="s">
        <v>2</v>
      </c>
      <c r="C307" t="s">
        <v>9</v>
      </c>
    </row>
    <row r="309" spans="1:9" x14ac:dyDescent="0.3">
      <c r="B309" s="5" t="s">
        <v>139</v>
      </c>
      <c r="C309" t="s">
        <v>138</v>
      </c>
    </row>
    <row r="310" spans="1:9" x14ac:dyDescent="0.3">
      <c r="B310" s="6" t="s">
        <v>8</v>
      </c>
      <c r="C310" s="7">
        <v>83</v>
      </c>
    </row>
    <row r="311" spans="1:9" x14ac:dyDescent="0.3">
      <c r="B311" s="6" t="s">
        <v>140</v>
      </c>
      <c r="C311" s="7">
        <v>83</v>
      </c>
    </row>
    <row r="314" spans="1:9" x14ac:dyDescent="0.3">
      <c r="A314" s="3" t="s">
        <v>134</v>
      </c>
    </row>
    <row r="316" spans="1:9" x14ac:dyDescent="0.3">
      <c r="B316" s="5" t="s">
        <v>2</v>
      </c>
      <c r="C316" t="s">
        <v>9</v>
      </c>
      <c r="H316" s="5" t="s">
        <v>2</v>
      </c>
      <c r="I316" t="s">
        <v>9</v>
      </c>
    </row>
    <row r="318" spans="1:9" x14ac:dyDescent="0.3">
      <c r="B318" s="5" t="s">
        <v>139</v>
      </c>
      <c r="C318" t="s">
        <v>148</v>
      </c>
      <c r="H318" s="5" t="s">
        <v>139</v>
      </c>
      <c r="I318" t="s">
        <v>167</v>
      </c>
    </row>
    <row r="319" spans="1:9" x14ac:dyDescent="0.3">
      <c r="B319" s="6" t="s">
        <v>82</v>
      </c>
      <c r="C319" s="7">
        <v>988</v>
      </c>
      <c r="H319" s="6" t="s">
        <v>52</v>
      </c>
      <c r="I319" s="7">
        <v>125</v>
      </c>
    </row>
    <row r="320" spans="1:9" x14ac:dyDescent="0.3">
      <c r="B320" s="6" t="s">
        <v>140</v>
      </c>
      <c r="C320" s="7">
        <v>988</v>
      </c>
      <c r="H320" s="6" t="s">
        <v>140</v>
      </c>
      <c r="I320" s="7">
        <v>125</v>
      </c>
    </row>
    <row r="324" spans="1:4" x14ac:dyDescent="0.3">
      <c r="A324" s="3" t="s">
        <v>135</v>
      </c>
    </row>
    <row r="325" spans="1:4" x14ac:dyDescent="0.3">
      <c r="C325" s="5" t="s">
        <v>2</v>
      </c>
      <c r="D325" t="s">
        <v>22</v>
      </c>
    </row>
    <row r="327" spans="1:4" x14ac:dyDescent="0.3">
      <c r="C327" s="5" t="s">
        <v>139</v>
      </c>
      <c r="D327" t="s">
        <v>169</v>
      </c>
    </row>
    <row r="328" spans="1:4" x14ac:dyDescent="0.3">
      <c r="C328" s="6" t="s">
        <v>42</v>
      </c>
      <c r="D328" s="7">
        <v>6</v>
      </c>
    </row>
    <row r="329" spans="1:4" x14ac:dyDescent="0.3">
      <c r="C329" s="6" t="s">
        <v>140</v>
      </c>
      <c r="D329" s="7">
        <v>6</v>
      </c>
    </row>
    <row r="331" spans="1:4" x14ac:dyDescent="0.3">
      <c r="A331" s="3" t="s">
        <v>136</v>
      </c>
    </row>
    <row r="333" spans="1:4" x14ac:dyDescent="0.3">
      <c r="B333" s="5" t="s">
        <v>141</v>
      </c>
      <c r="C333" s="5" t="s">
        <v>162</v>
      </c>
    </row>
    <row r="334" spans="1:4" x14ac:dyDescent="0.3">
      <c r="B334" s="5" t="s">
        <v>139</v>
      </c>
      <c r="C334" t="s">
        <v>28</v>
      </c>
      <c r="D334" t="s">
        <v>140</v>
      </c>
    </row>
    <row r="335" spans="1:4" x14ac:dyDescent="0.3">
      <c r="B335" s="6" t="s">
        <v>66</v>
      </c>
      <c r="C335" s="7">
        <v>777</v>
      </c>
      <c r="D335" s="7">
        <v>777</v>
      </c>
    </row>
    <row r="336" spans="1:4" x14ac:dyDescent="0.3">
      <c r="B336" s="6" t="s">
        <v>140</v>
      </c>
      <c r="C336" s="7">
        <v>777</v>
      </c>
      <c r="D336" s="7">
        <v>777</v>
      </c>
    </row>
    <row r="339" spans="1:8" x14ac:dyDescent="0.3">
      <c r="A339" s="3" t="s">
        <v>128</v>
      </c>
    </row>
    <row r="341" spans="1:8" x14ac:dyDescent="0.3">
      <c r="C341" s="5" t="s">
        <v>141</v>
      </c>
      <c r="D341" s="5" t="s">
        <v>162</v>
      </c>
    </row>
    <row r="342" spans="1:8" x14ac:dyDescent="0.3">
      <c r="C342" s="5" t="s">
        <v>139</v>
      </c>
      <c r="D342" t="s">
        <v>28</v>
      </c>
      <c r="E342" t="s">
        <v>16</v>
      </c>
      <c r="F342" t="s">
        <v>9</v>
      </c>
      <c r="G342" t="s">
        <v>22</v>
      </c>
      <c r="H342" t="s">
        <v>140</v>
      </c>
    </row>
    <row r="343" spans="1:8" x14ac:dyDescent="0.3">
      <c r="C343" s="6" t="s">
        <v>42</v>
      </c>
      <c r="D343" s="7">
        <v>777</v>
      </c>
      <c r="E343" s="7">
        <v>356</v>
      </c>
      <c r="F343" s="7">
        <v>1166</v>
      </c>
      <c r="G343" s="7">
        <v>2423</v>
      </c>
      <c r="H343" s="7">
        <v>4722</v>
      </c>
    </row>
    <row r="344" spans="1:8" x14ac:dyDescent="0.3">
      <c r="C344" s="6" t="s">
        <v>50</v>
      </c>
      <c r="D344" s="7">
        <v>1453</v>
      </c>
      <c r="E344" s="7">
        <v>199</v>
      </c>
      <c r="F344" s="7">
        <v>5666</v>
      </c>
      <c r="G344" s="7">
        <v>712</v>
      </c>
      <c r="H344" s="7">
        <v>8030</v>
      </c>
    </row>
    <row r="345" spans="1:8" x14ac:dyDescent="0.3">
      <c r="C345" s="6" t="s">
        <v>27</v>
      </c>
      <c r="D345" s="7">
        <v>3289</v>
      </c>
      <c r="E345" s="7"/>
      <c r="F345" s="7">
        <v>127</v>
      </c>
      <c r="G345" s="7">
        <v>1952</v>
      </c>
      <c r="H345" s="7">
        <v>5368</v>
      </c>
    </row>
    <row r="346" spans="1:8" x14ac:dyDescent="0.3">
      <c r="C346" s="6" t="s">
        <v>15</v>
      </c>
      <c r="D346" s="7">
        <v>187</v>
      </c>
      <c r="E346" s="7">
        <v>1527</v>
      </c>
      <c r="F346" s="7">
        <v>541</v>
      </c>
      <c r="G346" s="7">
        <v>2638</v>
      </c>
      <c r="H346" s="7">
        <v>4893</v>
      </c>
    </row>
    <row r="347" spans="1:8" x14ac:dyDescent="0.3">
      <c r="C347" s="6" t="s">
        <v>21</v>
      </c>
      <c r="D347" s="7">
        <v>989</v>
      </c>
      <c r="E347" s="7">
        <v>864</v>
      </c>
      <c r="F347" s="7">
        <v>2961</v>
      </c>
      <c r="G347" s="7">
        <v>3397</v>
      </c>
      <c r="H347" s="7">
        <v>8211</v>
      </c>
    </row>
    <row r="348" spans="1:8" x14ac:dyDescent="0.3">
      <c r="C348" s="6" t="s">
        <v>60</v>
      </c>
      <c r="D348" s="7">
        <v>1857</v>
      </c>
      <c r="E348" s="7">
        <v>2788</v>
      </c>
      <c r="F348" s="7"/>
      <c r="G348" s="7"/>
      <c r="H348" s="7">
        <v>4645</v>
      </c>
    </row>
    <row r="349" spans="1:8" x14ac:dyDescent="0.3">
      <c r="C349" s="6" t="s">
        <v>38</v>
      </c>
      <c r="D349" s="7">
        <v>3399</v>
      </c>
      <c r="E349" s="7">
        <v>1001</v>
      </c>
      <c r="F349" s="7">
        <v>699</v>
      </c>
      <c r="G349" s="7">
        <v>223</v>
      </c>
      <c r="H349" s="7">
        <v>5322</v>
      </c>
    </row>
    <row r="350" spans="1:8" x14ac:dyDescent="0.3">
      <c r="C350" s="6" t="s">
        <v>33</v>
      </c>
      <c r="D350" s="7">
        <v>1431</v>
      </c>
      <c r="E350" s="7">
        <v>1664</v>
      </c>
      <c r="F350" s="7">
        <v>2259</v>
      </c>
      <c r="G350" s="7">
        <v>223</v>
      </c>
      <c r="H350" s="7">
        <v>5577</v>
      </c>
    </row>
    <row r="351" spans="1:8" x14ac:dyDescent="0.3">
      <c r="C351" s="6" t="s">
        <v>8</v>
      </c>
      <c r="D351" s="7"/>
      <c r="E351" s="7"/>
      <c r="F351" s="7">
        <v>2992</v>
      </c>
      <c r="G351" s="7"/>
      <c r="H351" s="7">
        <v>2992</v>
      </c>
    </row>
    <row r="352" spans="1:8" x14ac:dyDescent="0.3">
      <c r="C352" s="6" t="s">
        <v>55</v>
      </c>
      <c r="D352" s="7">
        <v>2923</v>
      </c>
      <c r="E352" s="7"/>
      <c r="F352" s="7">
        <v>355</v>
      </c>
      <c r="G352" s="7">
        <v>3953</v>
      </c>
      <c r="H352" s="7">
        <v>7231</v>
      </c>
    </row>
    <row r="353" spans="1:8" x14ac:dyDescent="0.3">
      <c r="C353" s="6" t="s">
        <v>46</v>
      </c>
      <c r="D353" s="7">
        <v>2868</v>
      </c>
      <c r="E353" s="7">
        <v>288</v>
      </c>
      <c r="F353" s="7">
        <v>186</v>
      </c>
      <c r="G353" s="7">
        <v>1704</v>
      </c>
      <c r="H353" s="7">
        <v>5046</v>
      </c>
    </row>
    <row r="354" spans="1:8" x14ac:dyDescent="0.3">
      <c r="C354" s="6" t="s">
        <v>140</v>
      </c>
      <c r="D354" s="7">
        <v>19173</v>
      </c>
      <c r="E354" s="7">
        <v>8687</v>
      </c>
      <c r="F354" s="7">
        <v>16952</v>
      </c>
      <c r="G354" s="7">
        <v>17225</v>
      </c>
      <c r="H354" s="7">
        <v>62037</v>
      </c>
    </row>
    <row r="358" spans="1:8" x14ac:dyDescent="0.3">
      <c r="A358" s="3" t="s">
        <v>137</v>
      </c>
    </row>
    <row r="359" spans="1:8" x14ac:dyDescent="0.3">
      <c r="C359" s="5" t="s">
        <v>2</v>
      </c>
      <c r="D359" t="s">
        <v>28</v>
      </c>
    </row>
    <row r="361" spans="1:8" x14ac:dyDescent="0.3">
      <c r="C361" s="5" t="s">
        <v>139</v>
      </c>
      <c r="D361" t="s">
        <v>148</v>
      </c>
    </row>
    <row r="362" spans="1:8" x14ac:dyDescent="0.3">
      <c r="C362" s="6" t="s">
        <v>71</v>
      </c>
      <c r="D362" s="7">
        <v>999</v>
      </c>
    </row>
    <row r="363" spans="1:8" x14ac:dyDescent="0.3">
      <c r="C363" s="6" t="s">
        <v>140</v>
      </c>
      <c r="D363" s="7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9420A5-2259-430E-847F-1B7A5D1E5E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Que</vt:lpstr>
      <vt:lpstr>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MHASKE</dc:creator>
  <cp:lastModifiedBy>SHUBHAM MHASKE</cp:lastModifiedBy>
  <dcterms:created xsi:type="dcterms:W3CDTF">2026-01-05T05:01:01Z</dcterms:created>
  <dcterms:modified xsi:type="dcterms:W3CDTF">2026-01-09T06:02:58Z</dcterms:modified>
</cp:coreProperties>
</file>