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ubham\Data analyst\EXCEL\"/>
    </mc:Choice>
  </mc:AlternateContent>
  <xr:revisionPtr revIDLastSave="0" documentId="13_ncr:1_{D57AA4E5-CD32-40E7-A636-8F081A0C5206}" xr6:coauthVersionLast="47" xr6:coauthVersionMax="47" xr10:uidLastSave="{00000000-0000-0000-0000-000000000000}"/>
  <bookViews>
    <workbookView xWindow="-108" yWindow="-108" windowWidth="23256" windowHeight="12456" xr2:uid="{AD209C9D-020F-4DF3-B9C1-46D5CAA58059}"/>
  </bookViews>
  <sheets>
    <sheet name="Sheet1" sheetId="1" r:id="rId1"/>
    <sheet name="Table 2" sheetId="3" r:id="rId2"/>
    <sheet name="Table 1" sheetId="4" r:id="rId3"/>
    <sheet name="Table 6" sheetId="5" r:id="rId4"/>
    <sheet name="Sheet2" sheetId="2" r:id="rId5"/>
  </sheets>
  <definedNames>
    <definedName name="ExternalData_1" localSheetId="2" hidden="1">'Table 1'!$A$1:$B$21</definedName>
    <definedName name="ExternalData_1" localSheetId="1" hidden="1">'Table 2'!$A$1:$C$11</definedName>
    <definedName name="ExternalData_1" localSheetId="3" hidden="1">'Table 6'!$A$1:$B$10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4" i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B5" i="1"/>
  <c r="B6" i="1"/>
  <c r="B7" i="1"/>
  <c r="B8" i="1"/>
  <c r="B9" i="1"/>
  <c r="B10" i="1"/>
  <c r="B11" i="1"/>
  <c r="B12" i="1"/>
  <c r="B13" i="1"/>
  <c r="B14" i="1"/>
  <c r="B15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5223EC-7ECE-415E-AA89-01003F76AF7B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A25FF279-D13A-47FB-AE47-5E8963EE2E01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2CE38298-8DD6-45F3-9A68-1A6EC567E67F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</connections>
</file>

<file path=xl/sharedStrings.xml><?xml version="1.0" encoding="utf-8"?>
<sst xmlns="http://schemas.openxmlformats.org/spreadsheetml/2006/main" count="135" uniqueCount="124">
  <si>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</si>
  <si>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</si>
  <si>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</si>
  <si>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</si>
  <si>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</si>
  <si>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</si>
  <si>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</si>
  <si>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</si>
  <si>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</si>
  <si>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</si>
  <si>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</si>
  <si>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</si>
  <si>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</si>
  <si>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</si>
  <si>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</si>
  <si>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</si>
  <si>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</si>
  <si>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</si>
  <si>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</si>
  <si>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</si>
  <si>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</si>
  <si>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</si>
  <si>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</si>
  <si>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</si>
  <si>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</si>
  <si>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</si>
  <si>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</si>
  <si>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</si>
  <si>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</si>
  <si>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</si>
  <si>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</si>
  <si>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</si>
  <si>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</si>
  <si>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</si>
  <si>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</si>
  <si>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</si>
  <si>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>TRIM(MID(A2,FIND("/ ",A2)+1,FIND(":",A2)-FIND("/",A2)-1))</t>
  </si>
  <si>
    <t>Population(2011)[3]</t>
  </si>
  <si>
    <t>State or unionterritory</t>
  </si>
  <si>
    <t>Mumbai</t>
  </si>
  <si>
    <t>Maharashtra</t>
  </si>
  <si>
    <t>Delhi</t>
  </si>
  <si>
    <t>Bengaluru</t>
  </si>
  <si>
    <t>Karnataka</t>
  </si>
  <si>
    <t>Hyderabad</t>
  </si>
  <si>
    <t>Telangana</t>
  </si>
  <si>
    <t>Ahmedabad</t>
  </si>
  <si>
    <t>Gujarat</t>
  </si>
  <si>
    <t>Chennai</t>
  </si>
  <si>
    <t>Tamil Nadu</t>
  </si>
  <si>
    <t>Kolkata</t>
  </si>
  <si>
    <t>West Bengal</t>
  </si>
  <si>
    <t>Surat</t>
  </si>
  <si>
    <t>Pune</t>
  </si>
  <si>
    <t>Jaipur</t>
  </si>
  <si>
    <t>Rajasthan</t>
  </si>
  <si>
    <t>Sr NO</t>
  </si>
  <si>
    <t>Delhi NCR[a]</t>
  </si>
  <si>
    <t>Mumbai[b]</t>
  </si>
  <si>
    <t>Bengaluru[c]</t>
  </si>
  <si>
    <t>Chennai[d]</t>
  </si>
  <si>
    <t>Hyderabad[e]</t>
  </si>
  <si>
    <t>Kolkata[f]</t>
  </si>
  <si>
    <t>Ahmedabad[g]</t>
  </si>
  <si>
    <t>Pune[h]</t>
  </si>
  <si>
    <t>Coimbatore-Tiruppur[i]</t>
  </si>
  <si>
    <t>Visakhapatnam[j]</t>
  </si>
  <si>
    <t>Vadodara</t>
  </si>
  <si>
    <t>Nagpur</t>
  </si>
  <si>
    <t>Kochi</t>
  </si>
  <si>
    <t>Andhra Pradesh Capital Region [k]</t>
  </si>
  <si>
    <t>Rajkot</t>
  </si>
  <si>
    <t>Salem</t>
  </si>
  <si>
    <t>Nashik</t>
  </si>
  <si>
    <t>Thrissur</t>
  </si>
  <si>
    <t>Year</t>
  </si>
  <si>
    <t>Make and model</t>
  </si>
  <si>
    <t>Yangwang U9 Xtreme</t>
  </si>
  <si>
    <t>Bugatti Chiron Super Sport 300+</t>
  </si>
  <si>
    <t>Hennessey Venom GT</t>
  </si>
  <si>
    <t>Koenigsegg CCR</t>
  </si>
  <si>
    <t>Jaguar XJ220</t>
  </si>
  <si>
    <t>Vector W8</t>
  </si>
  <si>
    <t>Lamborghini Countach 5000QV</t>
  </si>
  <si>
    <t>Maserati 5000 GT</t>
  </si>
  <si>
    <t>Pegaso Z-102</t>
  </si>
  <si>
    <t>Abhishek</t>
  </si>
  <si>
    <t>Sudarshan</t>
  </si>
  <si>
    <t>Wavhal</t>
  </si>
  <si>
    <t>Sagar</t>
  </si>
  <si>
    <t>Sujit</t>
  </si>
  <si>
    <t>Kamble</t>
  </si>
  <si>
    <t>Jitendra</t>
  </si>
  <si>
    <t>Raju</t>
  </si>
  <si>
    <t>Pardesi</t>
  </si>
  <si>
    <t>Krushna</t>
  </si>
  <si>
    <t>Lohare</t>
  </si>
  <si>
    <t>Amit</t>
  </si>
  <si>
    <t>Arun</t>
  </si>
  <si>
    <t>Dhavale</t>
  </si>
  <si>
    <t>Dhanashree</t>
  </si>
  <si>
    <t>Ashok</t>
  </si>
  <si>
    <t>Jadhav</t>
  </si>
  <si>
    <t>Vaishnavi</t>
  </si>
  <si>
    <t>Suraj</t>
  </si>
  <si>
    <t>Rathod</t>
  </si>
  <si>
    <t>Sanjay</t>
  </si>
  <si>
    <t>Shelke</t>
  </si>
  <si>
    <t>Rushikesh</t>
  </si>
  <si>
    <t>Asaram</t>
  </si>
  <si>
    <t>Bartakke</t>
  </si>
  <si>
    <t>Ganesh</t>
  </si>
  <si>
    <t>Vilas</t>
  </si>
  <si>
    <t>Omkar</t>
  </si>
  <si>
    <t>Abhijeet</t>
  </si>
  <si>
    <t>Thorve</t>
  </si>
  <si>
    <t>Anjali</t>
  </si>
  <si>
    <t>Prashant</t>
  </si>
  <si>
    <t>Patil</t>
  </si>
  <si>
    <t>Mayank</t>
  </si>
  <si>
    <t>Uttam</t>
  </si>
  <si>
    <t>Patle</t>
  </si>
  <si>
    <t>Santosh</t>
  </si>
  <si>
    <t>Ubale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</si>
</sst>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0" borderId="0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A35A31-526E-4D53-9FB8-AB3804EF65A0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Population(2011)[3]" tableColumnId="2"/>
      <queryTableField id="3" name="State or unionterritor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6E545C-516E-418A-A1C3-3A0436C48BB6}" autoFormatId="16" applyNumberFormats="0" applyBorderFormats="0" applyFontFormats="0" applyPatternFormats="0" applyAlignmentFormats="0" applyWidthHeightFormats="0">
  <queryTableRefresh nextId="3">
    <queryTableFields count="2">
      <queryTableField id="1" name="Sr NO" tableColumnId="1"/>
      <queryTableField id="2" name="Cit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F95070-B559-4C49-B0D6-6F3E871ABE39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Make and mod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46C3F-C6EE-480B-9C95-DE719D4059B6}" name="Table_2" displayName="Table_2" ref="A1:C11" tableType="queryTable" totalsRowShown="0">
  <autoFilter ref="A1:C11" xr:uid="{FD346C3F-C6EE-480B-9C95-DE719D4059B6}"/>
  <tableColumns count="3">
    <tableColumn id="1" xr3:uid="{74BE8D91-6EC5-4895-BB05-D8A07E53428C}" uniqueName="1" name="City" queryTableFieldId="1" dataDxfId="3"/>
    <tableColumn id="2" xr3:uid="{A7EA8FAB-C6A9-43D7-96BE-01FB408284B2}" uniqueName="2" name="Population(2011)[3]" queryTableFieldId="2"/>
    <tableColumn id="3" xr3:uid="{3B275635-FF0C-4B74-A7E9-06A6C395DEE1}" uniqueName="3" name="State or unionterritory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EF7B6-3F2C-4864-8D80-2DE4D1FCE270}" name="Table_1" displayName="Table_1" ref="A1:B21" tableType="queryTable" totalsRowShown="0">
  <autoFilter ref="A1:B21" xr:uid="{C07EF7B6-3F2C-4864-8D80-2DE4D1FCE270}"/>
  <tableColumns count="2">
    <tableColumn id="1" xr3:uid="{9CE821EC-52E8-4759-A9AE-33ECBF3B3D90}" uniqueName="1" name="Sr NO" queryTableFieldId="1"/>
    <tableColumn id="2" xr3:uid="{2BB99E5C-B043-4E13-98A4-0D81AB8C5CBB}" uniqueName="2" name="City" queryTableFieldId="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19138-E399-4251-BB65-86E4BE304A56}" name="Table_6" displayName="Table_6" ref="A1:B10" tableType="queryTable" totalsRowShown="0">
  <autoFilter ref="A1:B10" xr:uid="{09719138-E399-4251-BB65-86E4BE304A56}"/>
  <tableColumns count="2">
    <tableColumn id="1" xr3:uid="{EC93754C-4D10-4DAF-8008-B44231197533}" uniqueName="1" name="Year" queryTableFieldId="1"/>
    <tableColumn id="2" xr3:uid="{F776E82E-B6F0-4492-950F-9023A33146AE}" uniqueName="2" name="Make and mode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F59E-995D-4DA0-941A-D4E6B0D04CAB}">
  <dimension ref="A1:H31"/>
  <sheetViews>
    <sheetView tabSelected="1" topLeftCell="A7" zoomScale="130" zoomScaleNormal="130" workbookViewId="0">
      <selection activeCell="H18" sqref="H18"/>
    </sheetView>
  </sheetViews>
  <sheetFormatPr defaultRowHeight="14.4" x14ac:dyDescent="0.3"/>
  <cols>
    <col min="1" max="1" width="29.5546875" bestFit="1" customWidth="1"/>
    <col min="2" max="2" width="11.77734375" bestFit="1" customWidth="1"/>
    <col min="3" max="3" width="12" bestFit="1" customWidth="1"/>
    <col min="4" max="4" width="9.6640625" bestFit="1" customWidth="1"/>
    <col min="6" max="6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">
      <c r="A2" s="2" t="s">
        <v>4</v>
      </c>
      <c r="B2" s="2" t="str">
        <f>LEFT(A2,FIND(" ",A2)-1)</f>
        <v>SHIVAM</v>
      </c>
      <c r="C2" s="2" t="str">
        <f>TRIM(MID(A2,FIND("/ ",A2)+1,FIND(":",A2)-FIND("/",A2)-1))</f>
        <v>Mumbai</v>
      </c>
      <c r="D2" s="2" t="str">
        <f>MID(A2,FIND(":",A2)+2,100)</f>
        <v>208011</v>
      </c>
      <c r="F2" t="s">
        <v>36</v>
      </c>
    </row>
    <row r="3" spans="1:8" x14ac:dyDescent="0.3">
      <c r="A3" s="2" t="s">
        <v>5</v>
      </c>
      <c r="B3" s="2" t="str">
        <f>LEFT(A3,FIND(" ",A3)-1)</f>
        <v>BRAJESH</v>
      </c>
      <c r="C3" s="3"/>
      <c r="D3" s="2" t="str">
        <f t="shared" ref="D3:D15" si="0">MID(A3,FIND(":",A3)+2,100)</f>
        <v>208012</v>
      </c>
    </row>
    <row r="4" spans="1:8" x14ac:dyDescent="0.3">
      <c r="A4" s="2" t="s">
        <v>6</v>
      </c>
      <c r="B4" s="2" t="str">
        <f>LEFT(A4,FIND("/ ",A4)-1)</f>
        <v xml:space="preserve">JITENDRA </v>
      </c>
      <c r="C4" s="2" t="str">
        <f>MID(A4,FIND("/",A4)+2,(FIND(":",A4)-FIND("/",A4)-2))</f>
        <v>Bangalore</v>
      </c>
      <c r="D4" s="2" t="str">
        <f t="shared" si="0"/>
        <v>208013</v>
      </c>
    </row>
    <row r="5" spans="1:8" x14ac:dyDescent="0.3">
      <c r="A5" s="2" t="s">
        <v>7</v>
      </c>
      <c r="B5" s="2" t="str">
        <f t="shared" ref="B5:B15" si="1">LEFT(A5,FIND(" ",A5)-1)</f>
        <v>PERMENDRA</v>
      </c>
      <c r="C5" s="2" t="str">
        <f t="shared" ref="C5:C15" si="2">MID(A5,FIND("/",A5)+2,(FIND(":",A5)-FIND("/",A5)-2))</f>
        <v>Hyderabad</v>
      </c>
      <c r="D5" s="2" t="str">
        <f t="shared" si="0"/>
        <v>208014</v>
      </c>
    </row>
    <row r="6" spans="1:8" x14ac:dyDescent="0.3">
      <c r="A6" s="2" t="s">
        <v>8</v>
      </c>
      <c r="B6" s="2" t="str">
        <f t="shared" si="1"/>
        <v>VIJAY</v>
      </c>
      <c r="C6" s="2" t="str">
        <f t="shared" si="2"/>
        <v>Ahmedabad</v>
      </c>
      <c r="D6" s="2" t="str">
        <f t="shared" si="0"/>
        <v>2080159</v>
      </c>
    </row>
    <row r="7" spans="1:8" x14ac:dyDescent="0.3">
      <c r="A7" s="2" t="s">
        <v>9</v>
      </c>
      <c r="B7" s="2" t="str">
        <f t="shared" si="1"/>
        <v>DASRATH</v>
      </c>
      <c r="C7" s="2" t="str">
        <f t="shared" si="2"/>
        <v>Chennai</v>
      </c>
      <c r="D7" s="2" t="str">
        <f t="shared" si="0"/>
        <v>208016</v>
      </c>
    </row>
    <row r="8" spans="1:8" x14ac:dyDescent="0.3">
      <c r="A8" s="2" t="s">
        <v>10</v>
      </c>
      <c r="B8" s="2" t="str">
        <f t="shared" si="1"/>
        <v>RANJAY</v>
      </c>
      <c r="C8" s="2" t="str">
        <f t="shared" si="2"/>
        <v>Kolkata</v>
      </c>
      <c r="D8" s="2" t="str">
        <f t="shared" si="0"/>
        <v>208017</v>
      </c>
    </row>
    <row r="9" spans="1:8" x14ac:dyDescent="0.3">
      <c r="A9" s="2" t="s">
        <v>11</v>
      </c>
      <c r="B9" s="2" t="str">
        <f t="shared" si="1"/>
        <v>AMRITLAL</v>
      </c>
      <c r="C9" s="2" t="str">
        <f t="shared" si="2"/>
        <v>Surat</v>
      </c>
      <c r="D9" s="2" t="str">
        <f t="shared" si="0"/>
        <v>208018</v>
      </c>
    </row>
    <row r="10" spans="1:8" x14ac:dyDescent="0.3">
      <c r="A10" s="2" t="s">
        <v>12</v>
      </c>
      <c r="B10" s="2" t="str">
        <f t="shared" si="1"/>
        <v>ANKUSH</v>
      </c>
      <c r="C10" s="2" t="str">
        <f t="shared" si="2"/>
        <v>Pune</v>
      </c>
      <c r="D10" s="2" t="str">
        <f t="shared" si="0"/>
        <v>208019</v>
      </c>
    </row>
    <row r="11" spans="1:8" x14ac:dyDescent="0.3">
      <c r="A11" s="2" t="s">
        <v>13</v>
      </c>
      <c r="B11" s="2" t="str">
        <f t="shared" si="1"/>
        <v>ABDUL</v>
      </c>
      <c r="C11" s="2" t="str">
        <f t="shared" si="2"/>
        <v>Jaipur</v>
      </c>
      <c r="D11" s="2" t="str">
        <f t="shared" si="0"/>
        <v>208020</v>
      </c>
    </row>
    <row r="12" spans="1:8" x14ac:dyDescent="0.3">
      <c r="A12" s="2" t="s">
        <v>14</v>
      </c>
      <c r="B12" s="2" t="str">
        <f t="shared" si="1"/>
        <v>1QLAQ</v>
      </c>
      <c r="C12" s="2" t="str">
        <f t="shared" si="2"/>
        <v>Lucknow</v>
      </c>
      <c r="D12" s="2" t="str">
        <f t="shared" si="0"/>
        <v>208021</v>
      </c>
    </row>
    <row r="13" spans="1:8" x14ac:dyDescent="0.3">
      <c r="A13" s="2" t="s">
        <v>15</v>
      </c>
      <c r="B13" s="2" t="str">
        <f t="shared" si="1"/>
        <v>SARAN</v>
      </c>
      <c r="C13" s="2" t="str">
        <f t="shared" si="2"/>
        <v>Kanpur</v>
      </c>
      <c r="D13" s="2" t="str">
        <f t="shared" si="0"/>
        <v>208022</v>
      </c>
    </row>
    <row r="14" spans="1:8" x14ac:dyDescent="0.3">
      <c r="A14" s="2" t="s">
        <v>16</v>
      </c>
      <c r="B14" s="2" t="str">
        <f t="shared" si="1"/>
        <v>HARGOVIND</v>
      </c>
      <c r="C14" s="2" t="str">
        <f t="shared" si="2"/>
        <v>Nagpur</v>
      </c>
      <c r="D14" s="2" t="str">
        <f t="shared" si="0"/>
        <v>208023</v>
      </c>
    </row>
    <row r="15" spans="1:8" x14ac:dyDescent="0.3">
      <c r="A15" s="2" t="s">
        <v>17</v>
      </c>
      <c r="B15" s="2" t="str">
        <f t="shared" si="1"/>
        <v>SHIVAM</v>
      </c>
      <c r="C15" s="2" t="str">
        <f t="shared" si="2"/>
        <v>Indore</v>
      </c>
      <c r="D15" s="2" t="str">
        <f t="shared" si="0"/>
        <v>208024</v>
      </c>
    </row>
    <row r="16" spans="1:8" x14ac:dyDescent="0.3">
      <c r="F16" s="4"/>
      <c r="G16" s="4"/>
      <c r="H16" s="4"/>
    </row>
    <row r="17" spans="1:8" x14ac:dyDescent="0.3">
      <c r="A17" s="1" t="s">
        <v>18</v>
      </c>
      <c r="B17" s="1" t="s">
        <v>19</v>
      </c>
      <c r="C17" s="1" t="s">
        <v>20</v>
      </c>
      <c r="D17" s="1" t="s">
        <v>21</v>
      </c>
      <c r="F17" s="4"/>
      <c r="G17" s="4"/>
      <c r="H17" s="4"/>
    </row>
    <row r="18" spans="1:8" x14ac:dyDescent="0.3">
      <c r="A18" s="2" t="s">
        <v>22</v>
      </c>
      <c r="B18" s="2" t="s">
        <v>86</v>
      </c>
      <c r="C18" s="2" t="s">
        <v>87</v>
      </c>
      <c r="D18" s="2" t="s">
        <v>88</v>
      </c>
      <c r="F18" s="4"/>
      <c r="G18" s="4"/>
      <c r="H18" s="4"/>
    </row>
    <row r="19" spans="1:8" x14ac:dyDescent="0.3">
      <c r="A19" s="2" t="s">
        <v>23</v>
      </c>
      <c r="B19" s="2" t="s">
        <v>89</v>
      </c>
      <c r="C19" s="2" t="s">
        <v>90</v>
      </c>
      <c r="D19" s="2" t="s">
        <v>91</v>
      </c>
      <c r="F19" s="4"/>
      <c r="G19" s="4"/>
      <c r="H19" s="4"/>
    </row>
    <row r="20" spans="1:8" x14ac:dyDescent="0.3">
      <c r="A20" s="2" t="s">
        <v>24</v>
      </c>
      <c r="B20" s="2" t="s">
        <v>92</v>
      </c>
      <c r="C20" s="2" t="s">
        <v>93</v>
      </c>
      <c r="D20" s="2" t="s">
        <v>94</v>
      </c>
      <c r="F20" s="4"/>
      <c r="G20" s="4"/>
      <c r="H20" s="4"/>
    </row>
    <row r="21" spans="1:8" x14ac:dyDescent="0.3">
      <c r="A21" s="2" t="s">
        <v>25</v>
      </c>
      <c r="B21" s="2" t="s">
        <v>95</v>
      </c>
      <c r="C21" s="2" t="s">
        <v>86</v>
      </c>
      <c r="D21" s="2" t="s">
        <v>96</v>
      </c>
      <c r="F21" s="4"/>
      <c r="G21" s="4"/>
      <c r="H21" s="4"/>
    </row>
    <row r="22" spans="1:8" x14ac:dyDescent="0.3">
      <c r="A22" s="2" t="s">
        <v>26</v>
      </c>
      <c r="B22" s="2" t="s">
        <v>97</v>
      </c>
      <c r="C22" s="2" t="s">
        <v>98</v>
      </c>
      <c r="D22" s="2" t="s">
        <v>99</v>
      </c>
      <c r="F22" s="4"/>
      <c r="G22" s="4"/>
      <c r="H22" s="4"/>
    </row>
    <row r="23" spans="1:8" x14ac:dyDescent="0.3">
      <c r="A23" s="2" t="s">
        <v>27</v>
      </c>
      <c r="B23" s="2" t="s">
        <v>100</v>
      </c>
      <c r="C23" s="2" t="s">
        <v>101</v>
      </c>
      <c r="D23" s="2" t="s">
        <v>102</v>
      </c>
      <c r="F23" s="4"/>
      <c r="G23" s="4"/>
      <c r="H23" s="4"/>
    </row>
    <row r="24" spans="1:8" x14ac:dyDescent="0.3">
      <c r="A24" s="2" t="s">
        <v>28</v>
      </c>
      <c r="B24" s="2" t="s">
        <v>103</v>
      </c>
      <c r="C24" s="2" t="s">
        <v>104</v>
      </c>
      <c r="D24" s="2" t="s">
        <v>105</v>
      </c>
      <c r="F24" s="4"/>
      <c r="G24" s="4"/>
      <c r="H24" s="4"/>
    </row>
    <row r="25" spans="1:8" x14ac:dyDescent="0.3">
      <c r="A25" s="2" t="s">
        <v>29</v>
      </c>
      <c r="B25" s="2" t="s">
        <v>104</v>
      </c>
      <c r="C25" s="2" t="s">
        <v>106</v>
      </c>
      <c r="D25" s="2" t="s">
        <v>107</v>
      </c>
      <c r="F25" s="4"/>
      <c r="G25" s="4"/>
      <c r="H25" s="4"/>
    </row>
    <row r="26" spans="1:8" x14ac:dyDescent="0.3">
      <c r="A26" s="2" t="s">
        <v>30</v>
      </c>
      <c r="B26" s="2" t="s">
        <v>108</v>
      </c>
      <c r="C26" s="2" t="s">
        <v>109</v>
      </c>
      <c r="D26" s="2" t="s">
        <v>110</v>
      </c>
      <c r="F26" s="4"/>
      <c r="G26" s="4"/>
      <c r="H26" s="4"/>
    </row>
    <row r="27" spans="1:8" x14ac:dyDescent="0.3">
      <c r="A27" s="2" t="s">
        <v>31</v>
      </c>
      <c r="B27" s="2" t="s">
        <v>111</v>
      </c>
      <c r="C27" s="2" t="s">
        <v>112</v>
      </c>
      <c r="D27" s="2" t="s">
        <v>102</v>
      </c>
      <c r="F27" s="4"/>
      <c r="G27" s="4"/>
      <c r="H27" s="4"/>
    </row>
    <row r="28" spans="1:8" x14ac:dyDescent="0.3">
      <c r="A28" s="2" t="s">
        <v>32</v>
      </c>
      <c r="B28" s="2" t="s">
        <v>113</v>
      </c>
      <c r="C28" s="2" t="s">
        <v>114</v>
      </c>
      <c r="D28" s="2" t="s">
        <v>115</v>
      </c>
      <c r="F28" s="4"/>
      <c r="G28" s="4"/>
      <c r="H28" s="4"/>
    </row>
    <row r="29" spans="1:8" x14ac:dyDescent="0.3">
      <c r="A29" s="2" t="s">
        <v>33</v>
      </c>
      <c r="B29" s="2" t="s">
        <v>116</v>
      </c>
      <c r="C29" s="2" t="s">
        <v>117</v>
      </c>
      <c r="D29" s="2" t="s">
        <v>118</v>
      </c>
      <c r="F29" s="4"/>
      <c r="G29" s="4"/>
      <c r="H29" s="4"/>
    </row>
    <row r="30" spans="1:8" x14ac:dyDescent="0.3">
      <c r="A30" s="2" t="s">
        <v>34</v>
      </c>
      <c r="B30" s="2" t="s">
        <v>119</v>
      </c>
      <c r="C30" s="2" t="s">
        <v>120</v>
      </c>
      <c r="D30" s="2" t="s">
        <v>121</v>
      </c>
      <c r="F30" s="4"/>
      <c r="G30" s="4"/>
      <c r="H30" s="4"/>
    </row>
    <row r="31" spans="1:8" x14ac:dyDescent="0.3">
      <c r="A31" s="2" t="s">
        <v>35</v>
      </c>
      <c r="B31" s="2" t="s">
        <v>103</v>
      </c>
      <c r="C31" s="2" t="s">
        <v>122</v>
      </c>
      <c r="D31" s="2" t="s">
        <v>123</v>
      </c>
      <c r="F3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1D87-142A-4068-91E8-43D1E2FF82B6}">
  <dimension ref="A1:C11"/>
  <sheetViews>
    <sheetView workbookViewId="0">
      <selection activeCell="G15" sqref="G15"/>
    </sheetView>
  </sheetViews>
  <sheetFormatPr defaultRowHeight="14.4" x14ac:dyDescent="0.3"/>
  <cols>
    <col min="1" max="1" width="10.6640625" bestFit="1" customWidth="1"/>
    <col min="2" max="2" width="20.33203125" bestFit="1" customWidth="1"/>
    <col min="3" max="3" width="22.21875" bestFit="1" customWidth="1"/>
  </cols>
  <sheetData>
    <row r="1" spans="1:3" x14ac:dyDescent="0.3">
      <c r="A1" t="s">
        <v>2</v>
      </c>
      <c r="B1" t="s">
        <v>37</v>
      </c>
      <c r="C1" t="s">
        <v>38</v>
      </c>
    </row>
    <row r="2" spans="1:3" x14ac:dyDescent="0.3">
      <c r="A2" t="s">
        <v>39</v>
      </c>
      <c r="B2">
        <v>12442373</v>
      </c>
      <c r="C2" t="s">
        <v>40</v>
      </c>
    </row>
    <row r="3" spans="1:3" x14ac:dyDescent="0.3">
      <c r="A3" t="s">
        <v>41</v>
      </c>
      <c r="B3">
        <v>11034555</v>
      </c>
      <c r="C3" t="s">
        <v>41</v>
      </c>
    </row>
    <row r="4" spans="1:3" x14ac:dyDescent="0.3">
      <c r="A4" t="s">
        <v>42</v>
      </c>
      <c r="B4">
        <v>8443675</v>
      </c>
      <c r="C4" t="s">
        <v>43</v>
      </c>
    </row>
    <row r="5" spans="1:3" x14ac:dyDescent="0.3">
      <c r="A5" t="s">
        <v>44</v>
      </c>
      <c r="B5">
        <v>6993262</v>
      </c>
      <c r="C5" t="s">
        <v>45</v>
      </c>
    </row>
    <row r="6" spans="1:3" x14ac:dyDescent="0.3">
      <c r="A6" t="s">
        <v>46</v>
      </c>
      <c r="B6">
        <v>5577940</v>
      </c>
      <c r="C6" t="s">
        <v>47</v>
      </c>
    </row>
    <row r="7" spans="1:3" x14ac:dyDescent="0.3">
      <c r="A7" t="s">
        <v>48</v>
      </c>
      <c r="B7">
        <v>4646732</v>
      </c>
      <c r="C7" t="s">
        <v>49</v>
      </c>
    </row>
    <row r="8" spans="1:3" x14ac:dyDescent="0.3">
      <c r="A8" t="s">
        <v>50</v>
      </c>
      <c r="B8">
        <v>4496694</v>
      </c>
      <c r="C8" t="s">
        <v>51</v>
      </c>
    </row>
    <row r="9" spans="1:3" x14ac:dyDescent="0.3">
      <c r="A9" t="s">
        <v>52</v>
      </c>
      <c r="B9">
        <v>4467797</v>
      </c>
      <c r="C9" t="s">
        <v>47</v>
      </c>
    </row>
    <row r="10" spans="1:3" x14ac:dyDescent="0.3">
      <c r="A10" t="s">
        <v>53</v>
      </c>
      <c r="B10">
        <v>3124458</v>
      </c>
      <c r="C10" t="s">
        <v>40</v>
      </c>
    </row>
    <row r="11" spans="1:3" x14ac:dyDescent="0.3">
      <c r="A11" t="s">
        <v>54</v>
      </c>
      <c r="B11">
        <v>3046163</v>
      </c>
      <c r="C1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B010-9649-4D34-8E50-7AAD2B4F1C99}">
  <dimension ref="A1:B21"/>
  <sheetViews>
    <sheetView workbookViewId="0"/>
  </sheetViews>
  <sheetFormatPr defaultRowHeight="14.4" x14ac:dyDescent="0.3"/>
  <cols>
    <col min="1" max="1" width="8" bestFit="1" customWidth="1"/>
    <col min="2" max="2" width="28.88671875" bestFit="1" customWidth="1"/>
  </cols>
  <sheetData>
    <row r="1" spans="1:2" x14ac:dyDescent="0.3">
      <c r="A1" t="s">
        <v>56</v>
      </c>
      <c r="B1" t="s">
        <v>2</v>
      </c>
    </row>
    <row r="2" spans="1:2" x14ac:dyDescent="0.3">
      <c r="A2">
        <v>1</v>
      </c>
      <c r="B2" t="s">
        <v>57</v>
      </c>
    </row>
    <row r="3" spans="1:2" x14ac:dyDescent="0.3">
      <c r="A3">
        <v>2</v>
      </c>
      <c r="B3" t="s">
        <v>58</v>
      </c>
    </row>
    <row r="4" spans="1:2" x14ac:dyDescent="0.3">
      <c r="A4">
        <v>3</v>
      </c>
      <c r="B4" t="s">
        <v>59</v>
      </c>
    </row>
    <row r="5" spans="1:2" x14ac:dyDescent="0.3">
      <c r="A5">
        <v>4</v>
      </c>
      <c r="B5" t="s">
        <v>60</v>
      </c>
    </row>
    <row r="6" spans="1:2" x14ac:dyDescent="0.3">
      <c r="A6">
        <v>5</v>
      </c>
      <c r="B6" t="s">
        <v>61</v>
      </c>
    </row>
    <row r="7" spans="1:2" x14ac:dyDescent="0.3">
      <c r="A7">
        <v>6</v>
      </c>
      <c r="B7" t="s">
        <v>62</v>
      </c>
    </row>
    <row r="8" spans="1:2" x14ac:dyDescent="0.3">
      <c r="A8">
        <v>7</v>
      </c>
      <c r="B8" t="s">
        <v>63</v>
      </c>
    </row>
    <row r="9" spans="1:2" x14ac:dyDescent="0.3">
      <c r="A9">
        <v>8</v>
      </c>
      <c r="B9" t="s">
        <v>64</v>
      </c>
    </row>
    <row r="10" spans="1:2" x14ac:dyDescent="0.3">
      <c r="A10">
        <v>9</v>
      </c>
      <c r="B10" t="s">
        <v>52</v>
      </c>
    </row>
    <row r="11" spans="1:2" x14ac:dyDescent="0.3">
      <c r="A11">
        <v>10</v>
      </c>
      <c r="B11" t="s">
        <v>65</v>
      </c>
    </row>
    <row r="12" spans="1:2" x14ac:dyDescent="0.3">
      <c r="A12">
        <v>11</v>
      </c>
      <c r="B12" t="s">
        <v>66</v>
      </c>
    </row>
    <row r="13" spans="1:2" x14ac:dyDescent="0.3">
      <c r="A13">
        <v>12</v>
      </c>
      <c r="B13" t="s">
        <v>67</v>
      </c>
    </row>
    <row r="14" spans="1:2" x14ac:dyDescent="0.3">
      <c r="A14">
        <v>13</v>
      </c>
      <c r="B14" t="s">
        <v>68</v>
      </c>
    </row>
    <row r="15" spans="1:2" x14ac:dyDescent="0.3">
      <c r="A15">
        <v>14</v>
      </c>
      <c r="B15" t="s">
        <v>54</v>
      </c>
    </row>
    <row r="16" spans="1:2" x14ac:dyDescent="0.3">
      <c r="A16">
        <v>15</v>
      </c>
      <c r="B16" t="s">
        <v>69</v>
      </c>
    </row>
    <row r="17" spans="1:2" x14ac:dyDescent="0.3">
      <c r="A17">
        <v>16</v>
      </c>
      <c r="B17" t="s">
        <v>70</v>
      </c>
    </row>
    <row r="18" spans="1:2" x14ac:dyDescent="0.3">
      <c r="A18">
        <v>17</v>
      </c>
      <c r="B18" t="s">
        <v>71</v>
      </c>
    </row>
    <row r="19" spans="1:2" x14ac:dyDescent="0.3">
      <c r="A19">
        <v>18</v>
      </c>
      <c r="B19" t="s">
        <v>72</v>
      </c>
    </row>
    <row r="20" spans="1:2" x14ac:dyDescent="0.3">
      <c r="A20">
        <v>19</v>
      </c>
      <c r="B20" t="s">
        <v>73</v>
      </c>
    </row>
    <row r="21" spans="1:2" x14ac:dyDescent="0.3">
      <c r="A21">
        <v>20</v>
      </c>
      <c r="B21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AE47-115A-40EC-A063-156B118124EC}">
  <dimension ref="A1:B10"/>
  <sheetViews>
    <sheetView workbookViewId="0">
      <selection activeCell="C17" sqref="C17"/>
    </sheetView>
  </sheetViews>
  <sheetFormatPr defaultRowHeight="14.4" x14ac:dyDescent="0.3"/>
  <cols>
    <col min="1" max="1" width="6.88671875" bestFit="1" customWidth="1"/>
    <col min="2" max="2" width="27.21875" bestFit="1" customWidth="1"/>
  </cols>
  <sheetData>
    <row r="1" spans="1:2" x14ac:dyDescent="0.3">
      <c r="A1" t="s">
        <v>75</v>
      </c>
      <c r="B1" t="s">
        <v>76</v>
      </c>
    </row>
    <row r="2" spans="1:2" x14ac:dyDescent="0.3">
      <c r="A2">
        <v>2025</v>
      </c>
      <c r="B2" t="s">
        <v>77</v>
      </c>
    </row>
    <row r="3" spans="1:2" x14ac:dyDescent="0.3">
      <c r="A3">
        <v>2019</v>
      </c>
      <c r="B3" t="s">
        <v>78</v>
      </c>
    </row>
    <row r="4" spans="1:2" x14ac:dyDescent="0.3">
      <c r="A4">
        <v>2014</v>
      </c>
      <c r="B4" t="s">
        <v>79</v>
      </c>
    </row>
    <row r="5" spans="1:2" x14ac:dyDescent="0.3">
      <c r="A5">
        <v>2004</v>
      </c>
      <c r="B5" t="s">
        <v>80</v>
      </c>
    </row>
    <row r="6" spans="1:2" x14ac:dyDescent="0.3">
      <c r="A6">
        <v>1992</v>
      </c>
      <c r="B6" t="s">
        <v>81</v>
      </c>
    </row>
    <row r="7" spans="1:2" x14ac:dyDescent="0.3">
      <c r="A7">
        <v>1990</v>
      </c>
      <c r="B7" t="s">
        <v>82</v>
      </c>
    </row>
    <row r="8" spans="1:2" x14ac:dyDescent="0.3">
      <c r="A8">
        <v>1985</v>
      </c>
      <c r="B8" t="s">
        <v>83</v>
      </c>
    </row>
    <row r="9" spans="1:2" x14ac:dyDescent="0.3">
      <c r="A9">
        <v>1959</v>
      </c>
      <c r="B9" t="s">
        <v>84</v>
      </c>
    </row>
    <row r="10" spans="1:2" x14ac:dyDescent="0.3">
      <c r="A10">
        <v>1953</v>
      </c>
      <c r="B10" t="s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A175-E0F6-42EC-BB5F-FD1A2F3B2DE0}">
  <dimension ref="A1"/>
  <sheetViews>
    <sheetView workbookViewId="0">
      <selection activeCell="C6" sqref="C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8FAEE-32DD-4BF0-A13F-CE8B07946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Table 2</vt:lpstr>
      <vt:lpstr>Table 1</vt:lpstr>
      <vt:lpstr>Table 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SHUBHAM MHASKE</cp:lastModifiedBy>
  <dcterms:created xsi:type="dcterms:W3CDTF">2025-12-29T06:36:48Z</dcterms:created>
  <dcterms:modified xsi:type="dcterms:W3CDTF">2026-01-18T12:20:23Z</dcterms:modified>
</cp:coreProperties>
</file>