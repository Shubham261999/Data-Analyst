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Shubham\Data analyst\EXCEL\Project\"/>
    </mc:Choice>
  </mc:AlternateContent>
  <xr:revisionPtr revIDLastSave="0" documentId="13_ncr:1_{93BFD8D8-CFBD-4844-86AB-0B2D74EA5043}" xr6:coauthVersionLast="47" xr6:coauthVersionMax="47" xr10:uidLastSave="{00000000-0000-0000-0000-000000000000}"/>
  <bookViews>
    <workbookView xWindow="-108" yWindow="-108" windowWidth="23256" windowHeight="12456" activeTab="2" xr2:uid="{68A25239-A0A5-4088-9DB3-2AF27E06B824}"/>
  </bookViews>
  <sheets>
    <sheet name="data" sheetId="2" r:id="rId1"/>
    <sheet name="Sheet1" sheetId="1" r:id="rId2"/>
    <sheet name="Sheet2" sheetId="3" r:id="rId3"/>
  </sheets>
  <definedNames>
    <definedName name="_xlchart.v5.0" hidden="1">Sheet1!$D$47</definedName>
    <definedName name="_xlchart.v5.1" hidden="1">Sheet1!$D$48:$D$59</definedName>
    <definedName name="_xlchart.v5.2" hidden="1">Sheet1!$E$47</definedName>
    <definedName name="_xlchart.v5.3" hidden="1">Sheet1!$E$48:$E$59</definedName>
    <definedName name="_xlchart.v5.4" hidden="1">Sheet1!$D$47</definedName>
    <definedName name="_xlchart.v5.5" hidden="1">Sheet1!$D$48:$D$59</definedName>
    <definedName name="_xlchart.v5.6" hidden="1">Sheet1!$E$47</definedName>
    <definedName name="_xlchart.v5.7" hidden="1">Sheet1!$E$48:$E$59</definedName>
    <definedName name="ExternalData_1" localSheetId="0" hidden="1">data!$A$1:$K$1301</definedName>
    <definedName name="Slicer_Sales_Rep">#N/A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8" i="1" l="1"/>
  <c r="E48" i="1"/>
  <c r="D49" i="1"/>
  <c r="E49" i="1"/>
  <c r="D50" i="1"/>
  <c r="E50" i="1"/>
  <c r="D51" i="1"/>
  <c r="E51" i="1"/>
  <c r="D52" i="1"/>
  <c r="E52" i="1"/>
  <c r="D53" i="1"/>
  <c r="E53" i="1"/>
  <c r="D54" i="1"/>
  <c r="E54" i="1"/>
  <c r="D55" i="1"/>
  <c r="E55" i="1"/>
  <c r="D56" i="1"/>
  <c r="E56" i="1"/>
  <c r="D57" i="1"/>
  <c r="E57" i="1"/>
  <c r="D58" i="1"/>
  <c r="E58" i="1"/>
  <c r="D59" i="1"/>
  <c r="E5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E4F9D7-E87A-4DAF-848A-9F2BF539B55D}" keepAlive="1" name="Query - ETL raw data one month sales Report" description="Connection to the 'ETL raw data one month sales Report' query in the workbook." type="5" refreshedVersion="8" background="1" saveData="1">
    <dbPr connection="Provider=Microsoft.Mashup.OleDb.1;Data Source=$Workbook$;Location=&quot;ETL raw data one month sales Report&quot;;Extended Properties=&quot;&quot;" command="SELECT * FROM [ETL raw data one month sales Report]"/>
  </connection>
</connections>
</file>

<file path=xl/sharedStrings.xml><?xml version="1.0" encoding="utf-8"?>
<sst xmlns="http://schemas.openxmlformats.org/spreadsheetml/2006/main" count="5268" uniqueCount="1351">
  <si>
    <t>Order ID.1</t>
  </si>
  <si>
    <t>Date</t>
  </si>
  <si>
    <t>Item</t>
  </si>
  <si>
    <t>Sales Rep</t>
  </si>
  <si>
    <t>Quantity</t>
  </si>
  <si>
    <t>Price</t>
  </si>
  <si>
    <t>Total Sales</t>
  </si>
  <si>
    <t>Commission</t>
  </si>
  <si>
    <t>Total Comission</t>
  </si>
  <si>
    <t>Net Sales</t>
  </si>
  <si>
    <t>State</t>
  </si>
  <si>
    <t>Order ID = 1</t>
  </si>
  <si>
    <t>Printer</t>
  </si>
  <si>
    <t>John</t>
  </si>
  <si>
    <t>Meghalaya</t>
  </si>
  <si>
    <t>Order ID = 2</t>
  </si>
  <si>
    <t>White Board</t>
  </si>
  <si>
    <t>Mark</t>
  </si>
  <si>
    <t>Uttar Pradesh</t>
  </si>
  <si>
    <t>Order ID = 3</t>
  </si>
  <si>
    <t>Office Chair</t>
  </si>
  <si>
    <t>Maharashtra</t>
  </si>
  <si>
    <t>Order ID = 4</t>
  </si>
  <si>
    <t>Delhi</t>
  </si>
  <si>
    <t>Order ID = 5</t>
  </si>
  <si>
    <t>Laura</t>
  </si>
  <si>
    <t>West Bengal</t>
  </si>
  <si>
    <t>Order ID = 6</t>
  </si>
  <si>
    <t>Stacey</t>
  </si>
  <si>
    <t>Bihar</t>
  </si>
  <si>
    <t>Order ID = 7</t>
  </si>
  <si>
    <t>Diary</t>
  </si>
  <si>
    <t>Bob</t>
  </si>
  <si>
    <t>Goa</t>
  </si>
  <si>
    <t>Order ID = 8</t>
  </si>
  <si>
    <t>Projector</t>
  </si>
  <si>
    <t>Karnataka</t>
  </si>
  <si>
    <t>Order ID = 9</t>
  </si>
  <si>
    <t>Gujarat</t>
  </si>
  <si>
    <t>Order ID = 10</t>
  </si>
  <si>
    <t>Jharkhand</t>
  </si>
  <si>
    <t>Order ID = 11</t>
  </si>
  <si>
    <t>Haryana</t>
  </si>
  <si>
    <t>Order ID = 12</t>
  </si>
  <si>
    <t>Kerala</t>
  </si>
  <si>
    <t>Order ID = 13</t>
  </si>
  <si>
    <t>Order ID = 14</t>
  </si>
  <si>
    <t>Order ID = 15</t>
  </si>
  <si>
    <t>Order ID = 16</t>
  </si>
  <si>
    <t>Order ID = 17</t>
  </si>
  <si>
    <t>Order ID = 18</t>
  </si>
  <si>
    <t>Order ID = 19</t>
  </si>
  <si>
    <t>Order ID = 20</t>
  </si>
  <si>
    <t>Order ID = 21</t>
  </si>
  <si>
    <t>Order ID = 22</t>
  </si>
  <si>
    <t>Order ID = 23</t>
  </si>
  <si>
    <t>Order ID = 24</t>
  </si>
  <si>
    <t>Order ID = 25</t>
  </si>
  <si>
    <t>Order ID = 26</t>
  </si>
  <si>
    <t>Order ID = 27</t>
  </si>
  <si>
    <t>Order ID = 28</t>
  </si>
  <si>
    <t>Order ID = 29</t>
  </si>
  <si>
    <t>Order ID = 30</t>
  </si>
  <si>
    <t>Order ID = 31</t>
  </si>
  <si>
    <t>Order ID = 32</t>
  </si>
  <si>
    <t>Order ID = 33</t>
  </si>
  <si>
    <t>Order ID = 34</t>
  </si>
  <si>
    <t>Order ID = 35</t>
  </si>
  <si>
    <t>Order ID = 36</t>
  </si>
  <si>
    <t>Order ID = 37</t>
  </si>
  <si>
    <t>Order ID = 38</t>
  </si>
  <si>
    <t>Order ID = 39</t>
  </si>
  <si>
    <t>Order ID = 40</t>
  </si>
  <si>
    <t>Order ID = 41</t>
  </si>
  <si>
    <t>Order ID = 42</t>
  </si>
  <si>
    <t>Order ID = 43</t>
  </si>
  <si>
    <t>Order ID = 44</t>
  </si>
  <si>
    <t>Order ID = 45</t>
  </si>
  <si>
    <t>Order ID = 46</t>
  </si>
  <si>
    <t>Order ID = 47</t>
  </si>
  <si>
    <t>Order ID = 48</t>
  </si>
  <si>
    <t>Order ID = 49</t>
  </si>
  <si>
    <t>Order ID = 50</t>
  </si>
  <si>
    <t>Order ID = 51</t>
  </si>
  <si>
    <t>Order ID = 52</t>
  </si>
  <si>
    <t>Order ID = 53</t>
  </si>
  <si>
    <t>Order ID = 54</t>
  </si>
  <si>
    <t>Order ID = 55</t>
  </si>
  <si>
    <t>Order ID = 56</t>
  </si>
  <si>
    <t>Order ID = 57</t>
  </si>
  <si>
    <t>Order ID = 58</t>
  </si>
  <si>
    <t>Order ID = 59</t>
  </si>
  <si>
    <t>Order ID = 60</t>
  </si>
  <si>
    <t>Order ID = 61</t>
  </si>
  <si>
    <t>Order ID = 62</t>
  </si>
  <si>
    <t>Order ID = 63</t>
  </si>
  <si>
    <t>Order ID = 64</t>
  </si>
  <si>
    <t>Order ID = 65</t>
  </si>
  <si>
    <t>Order ID = 66</t>
  </si>
  <si>
    <t>Order ID = 67</t>
  </si>
  <si>
    <t>Order ID = 68</t>
  </si>
  <si>
    <t>Order ID = 69</t>
  </si>
  <si>
    <t>Order ID = 70</t>
  </si>
  <si>
    <t>Order ID = 71</t>
  </si>
  <si>
    <t>Order ID = 72</t>
  </si>
  <si>
    <t>Order ID = 73</t>
  </si>
  <si>
    <t>Order ID = 74</t>
  </si>
  <si>
    <t>Order ID = 75</t>
  </si>
  <si>
    <t>Order ID = 76</t>
  </si>
  <si>
    <t>Order ID = 77</t>
  </si>
  <si>
    <t>Order ID = 78</t>
  </si>
  <si>
    <t>Order ID = 79</t>
  </si>
  <si>
    <t>Order ID = 80</t>
  </si>
  <si>
    <t>Order ID = 81</t>
  </si>
  <si>
    <t>Order ID = 82</t>
  </si>
  <si>
    <t>Order ID = 83</t>
  </si>
  <si>
    <t>Order ID = 84</t>
  </si>
  <si>
    <t>Order ID = 85</t>
  </si>
  <si>
    <t>Order ID = 86</t>
  </si>
  <si>
    <t>Order ID = 87</t>
  </si>
  <si>
    <t>Order ID = 88</t>
  </si>
  <si>
    <t>Order ID = 89</t>
  </si>
  <si>
    <t>Order ID = 90</t>
  </si>
  <si>
    <t>Order ID = 91</t>
  </si>
  <si>
    <t>Order ID = 92</t>
  </si>
  <si>
    <t>Order ID = 93</t>
  </si>
  <si>
    <t>Order ID = 94</t>
  </si>
  <si>
    <t>Order ID = 95</t>
  </si>
  <si>
    <t>Order ID = 96</t>
  </si>
  <si>
    <t>Order ID = 97</t>
  </si>
  <si>
    <t>Order ID = 98</t>
  </si>
  <si>
    <t>Order ID = 99</t>
  </si>
  <si>
    <t>Order ID = 100</t>
  </si>
  <si>
    <t>Order ID = 101</t>
  </si>
  <si>
    <t>Order ID = 102</t>
  </si>
  <si>
    <t>Order ID = 103</t>
  </si>
  <si>
    <t>Order ID = 104</t>
  </si>
  <si>
    <t>Order ID = 105</t>
  </si>
  <si>
    <t>Order ID = 106</t>
  </si>
  <si>
    <t>Order ID = 107</t>
  </si>
  <si>
    <t>Order ID = 108</t>
  </si>
  <si>
    <t>Order ID = 109</t>
  </si>
  <si>
    <t>Order ID = 110</t>
  </si>
  <si>
    <t>Order ID = 111</t>
  </si>
  <si>
    <t>Order ID = 112</t>
  </si>
  <si>
    <t>Order ID = 113</t>
  </si>
  <si>
    <t>Order ID = 114</t>
  </si>
  <si>
    <t>Order ID = 115</t>
  </si>
  <si>
    <t>Order ID = 116</t>
  </si>
  <si>
    <t>Order ID = 117</t>
  </si>
  <si>
    <t>Order ID = 118</t>
  </si>
  <si>
    <t>Order ID = 119</t>
  </si>
  <si>
    <t>Order ID = 120</t>
  </si>
  <si>
    <t>Order ID = 121</t>
  </si>
  <si>
    <t>Order ID = 122</t>
  </si>
  <si>
    <t>Order ID = 123</t>
  </si>
  <si>
    <t>Order ID = 124</t>
  </si>
  <si>
    <t>Order ID = 125</t>
  </si>
  <si>
    <t>Order ID = 126</t>
  </si>
  <si>
    <t>Order ID = 127</t>
  </si>
  <si>
    <t>Order ID = 128</t>
  </si>
  <si>
    <t>Order ID = 129</t>
  </si>
  <si>
    <t>Order ID = 130</t>
  </si>
  <si>
    <t>Order ID = 131</t>
  </si>
  <si>
    <t>Order ID = 132</t>
  </si>
  <si>
    <t>Order ID = 133</t>
  </si>
  <si>
    <t>Order ID = 134</t>
  </si>
  <si>
    <t>Order ID = 135</t>
  </si>
  <si>
    <t>Order ID = 136</t>
  </si>
  <si>
    <t>Order ID = 137</t>
  </si>
  <si>
    <t>Order ID = 138</t>
  </si>
  <si>
    <t>Order ID = 139</t>
  </si>
  <si>
    <t>Order ID = 140</t>
  </si>
  <si>
    <t>Order ID = 141</t>
  </si>
  <si>
    <t>Order ID = 142</t>
  </si>
  <si>
    <t>Order ID = 143</t>
  </si>
  <si>
    <t>Order ID = 144</t>
  </si>
  <si>
    <t>Order ID = 145</t>
  </si>
  <si>
    <t>Order ID = 146</t>
  </si>
  <si>
    <t>Order ID = 147</t>
  </si>
  <si>
    <t>Order ID = 148</t>
  </si>
  <si>
    <t>Order ID = 149</t>
  </si>
  <si>
    <t>Order ID = 150</t>
  </si>
  <si>
    <t>Order ID = 151</t>
  </si>
  <si>
    <t>Order ID = 152</t>
  </si>
  <si>
    <t>Order ID = 153</t>
  </si>
  <si>
    <t>Order ID = 154</t>
  </si>
  <si>
    <t>Order ID = 155</t>
  </si>
  <si>
    <t>Order ID = 156</t>
  </si>
  <si>
    <t>Order ID = 157</t>
  </si>
  <si>
    <t>Order ID = 158</t>
  </si>
  <si>
    <t>Order ID = 159</t>
  </si>
  <si>
    <t>Order ID = 160</t>
  </si>
  <si>
    <t>Order ID = 161</t>
  </si>
  <si>
    <t>Order ID = 162</t>
  </si>
  <si>
    <t>Order ID = 163</t>
  </si>
  <si>
    <t>Order ID = 164</t>
  </si>
  <si>
    <t>Order ID = 165</t>
  </si>
  <si>
    <t>Order ID = 166</t>
  </si>
  <si>
    <t>Order ID = 167</t>
  </si>
  <si>
    <t>Order ID = 168</t>
  </si>
  <si>
    <t>Order ID = 169</t>
  </si>
  <si>
    <t>Order ID = 170</t>
  </si>
  <si>
    <t>Order ID = 171</t>
  </si>
  <si>
    <t>Order ID = 172</t>
  </si>
  <si>
    <t>Order ID = 173</t>
  </si>
  <si>
    <t>Order ID = 174</t>
  </si>
  <si>
    <t>Order ID = 175</t>
  </si>
  <si>
    <t>Order ID = 176</t>
  </si>
  <si>
    <t>Order ID = 177</t>
  </si>
  <si>
    <t>Order ID = 178</t>
  </si>
  <si>
    <t>Order ID = 179</t>
  </si>
  <si>
    <t>Order ID = 180</t>
  </si>
  <si>
    <t>Order ID = 181</t>
  </si>
  <si>
    <t>Order ID = 182</t>
  </si>
  <si>
    <t>Order ID = 183</t>
  </si>
  <si>
    <t>Order ID = 184</t>
  </si>
  <si>
    <t>Order ID = 185</t>
  </si>
  <si>
    <t>Order ID = 186</t>
  </si>
  <si>
    <t>Order ID = 187</t>
  </si>
  <si>
    <t>Order ID = 188</t>
  </si>
  <si>
    <t>Order ID = 189</t>
  </si>
  <si>
    <t>Order ID = 190</t>
  </si>
  <si>
    <t>Order ID = 191</t>
  </si>
  <si>
    <t>Order ID = 192</t>
  </si>
  <si>
    <t>Order ID = 193</t>
  </si>
  <si>
    <t>Order ID = 194</t>
  </si>
  <si>
    <t>Order ID = 195</t>
  </si>
  <si>
    <t>Order ID = 196</t>
  </si>
  <si>
    <t>Order ID = 197</t>
  </si>
  <si>
    <t>Order ID = 198</t>
  </si>
  <si>
    <t>Order ID = 199</t>
  </si>
  <si>
    <t>Order ID = 200</t>
  </si>
  <si>
    <t>Order ID = 201</t>
  </si>
  <si>
    <t>Order ID = 202</t>
  </si>
  <si>
    <t>Order ID = 203</t>
  </si>
  <si>
    <t>Order ID = 204</t>
  </si>
  <si>
    <t>Order ID = 205</t>
  </si>
  <si>
    <t>Order ID = 206</t>
  </si>
  <si>
    <t>Order ID = 207</t>
  </si>
  <si>
    <t>Order ID = 208</t>
  </si>
  <si>
    <t>Order ID = 209</t>
  </si>
  <si>
    <t>Order ID = 210</t>
  </si>
  <si>
    <t>Order ID = 211</t>
  </si>
  <si>
    <t>Order ID = 212</t>
  </si>
  <si>
    <t>Order ID = 213</t>
  </si>
  <si>
    <t>Order ID = 214</t>
  </si>
  <si>
    <t>Order ID = 215</t>
  </si>
  <si>
    <t>Order ID = 216</t>
  </si>
  <si>
    <t>Order ID = 217</t>
  </si>
  <si>
    <t>Order ID = 218</t>
  </si>
  <si>
    <t>Order ID = 219</t>
  </si>
  <si>
    <t>Order ID = 220</t>
  </si>
  <si>
    <t>Order ID = 221</t>
  </si>
  <si>
    <t>Order ID = 222</t>
  </si>
  <si>
    <t>Order ID = 223</t>
  </si>
  <si>
    <t>Order ID = 224</t>
  </si>
  <si>
    <t>Order ID = 225</t>
  </si>
  <si>
    <t>Order ID = 226</t>
  </si>
  <si>
    <t>Order ID = 227</t>
  </si>
  <si>
    <t>Order ID = 228</t>
  </si>
  <si>
    <t>Order ID = 229</t>
  </si>
  <si>
    <t>Order ID = 230</t>
  </si>
  <si>
    <t>Order ID = 231</t>
  </si>
  <si>
    <t>Order ID = 232</t>
  </si>
  <si>
    <t>Order ID = 233</t>
  </si>
  <si>
    <t>Order ID = 234</t>
  </si>
  <si>
    <t>Order ID = 235</t>
  </si>
  <si>
    <t>Order ID = 236</t>
  </si>
  <si>
    <t>Order ID = 237</t>
  </si>
  <si>
    <t>Order ID = 238</t>
  </si>
  <si>
    <t>Order ID = 239</t>
  </si>
  <si>
    <t>Order ID = 240</t>
  </si>
  <si>
    <t>Order ID = 241</t>
  </si>
  <si>
    <t>Order ID = 242</t>
  </si>
  <si>
    <t>Order ID = 243</t>
  </si>
  <si>
    <t>Order ID = 244</t>
  </si>
  <si>
    <t>Order ID = 245</t>
  </si>
  <si>
    <t>Order ID = 246</t>
  </si>
  <si>
    <t>Order ID = 247</t>
  </si>
  <si>
    <t>Order ID = 248</t>
  </si>
  <si>
    <t>Order ID = 249</t>
  </si>
  <si>
    <t>Order ID = 250</t>
  </si>
  <si>
    <t>Order ID = 251</t>
  </si>
  <si>
    <t>Order ID = 252</t>
  </si>
  <si>
    <t>Order ID = 253</t>
  </si>
  <si>
    <t>Order ID = 254</t>
  </si>
  <si>
    <t>Order ID = 255</t>
  </si>
  <si>
    <t>Order ID = 256</t>
  </si>
  <si>
    <t>Order ID = 257</t>
  </si>
  <si>
    <t>Order ID = 258</t>
  </si>
  <si>
    <t>Order ID = 259</t>
  </si>
  <si>
    <t>Order ID = 260</t>
  </si>
  <si>
    <t>Order ID = 261</t>
  </si>
  <si>
    <t>Order ID = 262</t>
  </si>
  <si>
    <t>Order ID = 263</t>
  </si>
  <si>
    <t>Order ID = 264</t>
  </si>
  <si>
    <t>Order ID = 265</t>
  </si>
  <si>
    <t>Order ID = 266</t>
  </si>
  <si>
    <t>Order ID = 267</t>
  </si>
  <si>
    <t>Order ID = 268</t>
  </si>
  <si>
    <t>Order ID = 269</t>
  </si>
  <si>
    <t>Order ID = 270</t>
  </si>
  <si>
    <t>Order ID = 271</t>
  </si>
  <si>
    <t>Order ID = 272</t>
  </si>
  <si>
    <t>Order ID = 273</t>
  </si>
  <si>
    <t>Order ID = 274</t>
  </si>
  <si>
    <t>Order ID = 275</t>
  </si>
  <si>
    <t>Order ID = 276</t>
  </si>
  <si>
    <t>Order ID = 277</t>
  </si>
  <si>
    <t>Order ID = 278</t>
  </si>
  <si>
    <t>Order ID = 279</t>
  </si>
  <si>
    <t>Order ID = 280</t>
  </si>
  <si>
    <t>Order ID = 281</t>
  </si>
  <si>
    <t>Order ID = 282</t>
  </si>
  <si>
    <t>Order ID = 283</t>
  </si>
  <si>
    <t>Order ID = 284</t>
  </si>
  <si>
    <t>Order ID = 285</t>
  </si>
  <si>
    <t>Order ID = 286</t>
  </si>
  <si>
    <t>Order ID = 287</t>
  </si>
  <si>
    <t>Order ID = 288</t>
  </si>
  <si>
    <t>Order ID = 289</t>
  </si>
  <si>
    <t>Order ID = 290</t>
  </si>
  <si>
    <t>Order ID = 291</t>
  </si>
  <si>
    <t>Order ID = 292</t>
  </si>
  <si>
    <t>Order ID = 293</t>
  </si>
  <si>
    <t>Order ID = 294</t>
  </si>
  <si>
    <t>Order ID = 295</t>
  </si>
  <si>
    <t>Order ID = 296</t>
  </si>
  <si>
    <t>Order ID = 297</t>
  </si>
  <si>
    <t>Order ID = 298</t>
  </si>
  <si>
    <t>Order ID = 299</t>
  </si>
  <si>
    <t>Order ID = 300</t>
  </si>
  <si>
    <t>Order ID = 301</t>
  </si>
  <si>
    <t>Order ID = 302</t>
  </si>
  <si>
    <t>Order ID = 303</t>
  </si>
  <si>
    <t>Order ID = 304</t>
  </si>
  <si>
    <t>Order ID = 305</t>
  </si>
  <si>
    <t>Order ID = 306</t>
  </si>
  <si>
    <t>Order ID = 307</t>
  </si>
  <si>
    <t>Order ID = 308</t>
  </si>
  <si>
    <t>Order ID = 309</t>
  </si>
  <si>
    <t>Order ID = 310</t>
  </si>
  <si>
    <t>Order ID = 311</t>
  </si>
  <si>
    <t>Order ID = 312</t>
  </si>
  <si>
    <t>Order ID = 313</t>
  </si>
  <si>
    <t>Order ID = 314</t>
  </si>
  <si>
    <t>Order ID = 315</t>
  </si>
  <si>
    <t>Order ID = 316</t>
  </si>
  <si>
    <t>Order ID = 317</t>
  </si>
  <si>
    <t>Order ID = 318</t>
  </si>
  <si>
    <t>Order ID = 319</t>
  </si>
  <si>
    <t>Order ID = 320</t>
  </si>
  <si>
    <t>Order ID = 321</t>
  </si>
  <si>
    <t>Order ID = 322</t>
  </si>
  <si>
    <t>Order ID = 323</t>
  </si>
  <si>
    <t>Order ID = 324</t>
  </si>
  <si>
    <t>Order ID = 325</t>
  </si>
  <si>
    <t>Order ID = 326</t>
  </si>
  <si>
    <t>Order ID = 327</t>
  </si>
  <si>
    <t>Order ID = 328</t>
  </si>
  <si>
    <t>Order ID = 329</t>
  </si>
  <si>
    <t>Order ID = 330</t>
  </si>
  <si>
    <t>Order ID = 331</t>
  </si>
  <si>
    <t>Order ID = 332</t>
  </si>
  <si>
    <t>Order ID = 333</t>
  </si>
  <si>
    <t>Order ID = 334</t>
  </si>
  <si>
    <t>Order ID = 335</t>
  </si>
  <si>
    <t>Order ID = 336</t>
  </si>
  <si>
    <t>Order ID = 337</t>
  </si>
  <si>
    <t>Order ID = 338</t>
  </si>
  <si>
    <t>Order ID = 339</t>
  </si>
  <si>
    <t>Order ID = 340</t>
  </si>
  <si>
    <t>Order ID = 341</t>
  </si>
  <si>
    <t>Order ID = 342</t>
  </si>
  <si>
    <t>Order ID = 343</t>
  </si>
  <si>
    <t>Order ID = 344</t>
  </si>
  <si>
    <t>Order ID = 345</t>
  </si>
  <si>
    <t>Order ID = 346</t>
  </si>
  <si>
    <t>Order ID = 347</t>
  </si>
  <si>
    <t>Order ID = 348</t>
  </si>
  <si>
    <t>Order ID = 349</t>
  </si>
  <si>
    <t>Order ID = 350</t>
  </si>
  <si>
    <t>Order ID = 351</t>
  </si>
  <si>
    <t>Order ID = 352</t>
  </si>
  <si>
    <t>Order ID = 353</t>
  </si>
  <si>
    <t>Order ID = 354</t>
  </si>
  <si>
    <t>Order ID = 355</t>
  </si>
  <si>
    <t>Order ID = 356</t>
  </si>
  <si>
    <t>Order ID = 357</t>
  </si>
  <si>
    <t>Order ID = 358</t>
  </si>
  <si>
    <t>Order ID = 359</t>
  </si>
  <si>
    <t>Order ID = 360</t>
  </si>
  <si>
    <t>Order ID = 361</t>
  </si>
  <si>
    <t>Order ID = 362</t>
  </si>
  <si>
    <t>Order ID = 363</t>
  </si>
  <si>
    <t>Order ID = 364</t>
  </si>
  <si>
    <t>Order ID = 365</t>
  </si>
  <si>
    <t>Order ID = 366</t>
  </si>
  <si>
    <t>Order ID = 367</t>
  </si>
  <si>
    <t>Order ID = 368</t>
  </si>
  <si>
    <t>Order ID = 369</t>
  </si>
  <si>
    <t>Order ID = 370</t>
  </si>
  <si>
    <t>Order ID = 371</t>
  </si>
  <si>
    <t>Order ID = 372</t>
  </si>
  <si>
    <t>Order ID = 373</t>
  </si>
  <si>
    <t>Order ID = 374</t>
  </si>
  <si>
    <t>Order ID = 375</t>
  </si>
  <si>
    <t>Order ID = 376</t>
  </si>
  <si>
    <t>Order ID = 377</t>
  </si>
  <si>
    <t>Order ID = 378</t>
  </si>
  <si>
    <t>Order ID = 379</t>
  </si>
  <si>
    <t>Order ID = 380</t>
  </si>
  <si>
    <t>Order ID = 381</t>
  </si>
  <si>
    <t>Order ID = 382</t>
  </si>
  <si>
    <t>Order ID = 383</t>
  </si>
  <si>
    <t>Order ID = 384</t>
  </si>
  <si>
    <t>Order ID = 385</t>
  </si>
  <si>
    <t>Order ID = 386</t>
  </si>
  <si>
    <t>Order ID = 387</t>
  </si>
  <si>
    <t>Order ID = 388</t>
  </si>
  <si>
    <t>Order ID = 389</t>
  </si>
  <si>
    <t>Order ID = 390</t>
  </si>
  <si>
    <t>Order ID = 391</t>
  </si>
  <si>
    <t>Order ID = 392</t>
  </si>
  <si>
    <t>Order ID = 393</t>
  </si>
  <si>
    <t>Order ID = 394</t>
  </si>
  <si>
    <t>Order ID = 395</t>
  </si>
  <si>
    <t>Order ID = 396</t>
  </si>
  <si>
    <t>Order ID = 397</t>
  </si>
  <si>
    <t>Order ID = 398</t>
  </si>
  <si>
    <t>Order ID = 399</t>
  </si>
  <si>
    <t>Order ID = 400</t>
  </si>
  <si>
    <t>Order ID = 401</t>
  </si>
  <si>
    <t>Order ID = 402</t>
  </si>
  <si>
    <t>Order ID = 403</t>
  </si>
  <si>
    <t>Order ID = 404</t>
  </si>
  <si>
    <t>Order ID = 405</t>
  </si>
  <si>
    <t>Order ID = 406</t>
  </si>
  <si>
    <t>Order ID = 407</t>
  </si>
  <si>
    <t>Order ID = 408</t>
  </si>
  <si>
    <t>Order ID = 409</t>
  </si>
  <si>
    <t>Order ID = 410</t>
  </si>
  <si>
    <t>Order ID = 411</t>
  </si>
  <si>
    <t>Order ID = 412</t>
  </si>
  <si>
    <t>Order ID = 413</t>
  </si>
  <si>
    <t>Order ID = 414</t>
  </si>
  <si>
    <t>Order ID = 415</t>
  </si>
  <si>
    <t>Order ID = 416</t>
  </si>
  <si>
    <t>Order ID = 417</t>
  </si>
  <si>
    <t>Order ID = 418</t>
  </si>
  <si>
    <t>Order ID = 419</t>
  </si>
  <si>
    <t>Order ID = 420</t>
  </si>
  <si>
    <t>Order ID = 421</t>
  </si>
  <si>
    <t>Order ID = 422</t>
  </si>
  <si>
    <t>Order ID = 423</t>
  </si>
  <si>
    <t>Order ID = 424</t>
  </si>
  <si>
    <t>Order ID = 425</t>
  </si>
  <si>
    <t>Order ID = 426</t>
  </si>
  <si>
    <t>Order ID = 427</t>
  </si>
  <si>
    <t>Order ID = 428</t>
  </si>
  <si>
    <t>Order ID = 429</t>
  </si>
  <si>
    <t>Order ID = 430</t>
  </si>
  <si>
    <t>Order ID = 431</t>
  </si>
  <si>
    <t>Order ID = 432</t>
  </si>
  <si>
    <t>Order ID = 433</t>
  </si>
  <si>
    <t>Order ID = 434</t>
  </si>
  <si>
    <t>Order ID = 435</t>
  </si>
  <si>
    <t>Order ID = 436</t>
  </si>
  <si>
    <t>Order ID = 437</t>
  </si>
  <si>
    <t>Order ID = 438</t>
  </si>
  <si>
    <t>Order ID = 439</t>
  </si>
  <si>
    <t>Order ID = 440</t>
  </si>
  <si>
    <t>Order ID = 441</t>
  </si>
  <si>
    <t>Order ID = 442</t>
  </si>
  <si>
    <t>Order ID = 443</t>
  </si>
  <si>
    <t>Order ID = 444</t>
  </si>
  <si>
    <t>Order ID = 445</t>
  </si>
  <si>
    <t>Order ID = 446</t>
  </si>
  <si>
    <t>Order ID = 447</t>
  </si>
  <si>
    <t>Order ID = 448</t>
  </si>
  <si>
    <t>Order ID = 449</t>
  </si>
  <si>
    <t>Order ID = 450</t>
  </si>
  <si>
    <t>Order ID = 451</t>
  </si>
  <si>
    <t>Order ID = 452</t>
  </si>
  <si>
    <t>Order ID = 453</t>
  </si>
  <si>
    <t>Order ID = 454</t>
  </si>
  <si>
    <t>Order ID = 455</t>
  </si>
  <si>
    <t>Order ID = 456</t>
  </si>
  <si>
    <t>Order ID = 457</t>
  </si>
  <si>
    <t>Order ID = 458</t>
  </si>
  <si>
    <t>Order ID = 459</t>
  </si>
  <si>
    <t>Order ID = 460</t>
  </si>
  <si>
    <t>Order ID = 461</t>
  </si>
  <si>
    <t>Order ID = 462</t>
  </si>
  <si>
    <t>Order ID = 463</t>
  </si>
  <si>
    <t>Order ID = 464</t>
  </si>
  <si>
    <t>Order ID = 465</t>
  </si>
  <si>
    <t>Order ID = 466</t>
  </si>
  <si>
    <t>Order ID = 467</t>
  </si>
  <si>
    <t>Order ID = 468</t>
  </si>
  <si>
    <t>Order ID = 469</t>
  </si>
  <si>
    <t>Order ID = 470</t>
  </si>
  <si>
    <t>Order ID = 471</t>
  </si>
  <si>
    <t>Order ID = 472</t>
  </si>
  <si>
    <t>Order ID = 473</t>
  </si>
  <si>
    <t>Order ID = 474</t>
  </si>
  <si>
    <t>Order ID = 475</t>
  </si>
  <si>
    <t>Order ID = 476</t>
  </si>
  <si>
    <t>Order ID = 477</t>
  </si>
  <si>
    <t>Order ID = 478</t>
  </si>
  <si>
    <t>Order ID = 479</t>
  </si>
  <si>
    <t>Order ID = 480</t>
  </si>
  <si>
    <t>Order ID = 481</t>
  </si>
  <si>
    <t>Order ID = 482</t>
  </si>
  <si>
    <t>Order ID = 483</t>
  </si>
  <si>
    <t>Order ID = 484</t>
  </si>
  <si>
    <t>Order ID = 485</t>
  </si>
  <si>
    <t>Order ID = 486</t>
  </si>
  <si>
    <t>Order ID = 487</t>
  </si>
  <si>
    <t>Order ID = 488</t>
  </si>
  <si>
    <t>Order ID = 489</t>
  </si>
  <si>
    <t>Order ID = 490</t>
  </si>
  <si>
    <t>Order ID = 491</t>
  </si>
  <si>
    <t>Order ID = 492</t>
  </si>
  <si>
    <t>Order ID = 493</t>
  </si>
  <si>
    <t>Order ID = 494</t>
  </si>
  <si>
    <t>Order ID = 495</t>
  </si>
  <si>
    <t>Order ID = 496</t>
  </si>
  <si>
    <t>Order ID = 497</t>
  </si>
  <si>
    <t>Order ID = 498</t>
  </si>
  <si>
    <t>Order ID = 499</t>
  </si>
  <si>
    <t>Order ID = 500</t>
  </si>
  <si>
    <t>Order ID = 501</t>
  </si>
  <si>
    <t>Order ID = 502</t>
  </si>
  <si>
    <t>Order ID = 503</t>
  </si>
  <si>
    <t>Order ID = 504</t>
  </si>
  <si>
    <t>Order ID = 505</t>
  </si>
  <si>
    <t>Order ID = 506</t>
  </si>
  <si>
    <t>Order ID = 507</t>
  </si>
  <si>
    <t>Order ID = 508</t>
  </si>
  <si>
    <t>Order ID = 509</t>
  </si>
  <si>
    <t>Order ID = 510</t>
  </si>
  <si>
    <t>Order ID = 511</t>
  </si>
  <si>
    <t>Order ID = 512</t>
  </si>
  <si>
    <t>Order ID = 513</t>
  </si>
  <si>
    <t>Order ID = 514</t>
  </si>
  <si>
    <t>Order ID = 515</t>
  </si>
  <si>
    <t>Order ID = 516</t>
  </si>
  <si>
    <t>Order ID = 517</t>
  </si>
  <si>
    <t>Order ID = 518</t>
  </si>
  <si>
    <t>Order ID = 519</t>
  </si>
  <si>
    <t>Order ID = 520</t>
  </si>
  <si>
    <t>Order ID = 521</t>
  </si>
  <si>
    <t>Order ID = 522</t>
  </si>
  <si>
    <t>Order ID = 523</t>
  </si>
  <si>
    <t>Order ID = 524</t>
  </si>
  <si>
    <t>Order ID = 525</t>
  </si>
  <si>
    <t>Order ID = 526</t>
  </si>
  <si>
    <t>Order ID = 527</t>
  </si>
  <si>
    <t>Order ID = 528</t>
  </si>
  <si>
    <t>Order ID = 529</t>
  </si>
  <si>
    <t>Order ID = 530</t>
  </si>
  <si>
    <t>Order ID = 531</t>
  </si>
  <si>
    <t>Order ID = 532</t>
  </si>
  <si>
    <t>Order ID = 533</t>
  </si>
  <si>
    <t>Order ID = 534</t>
  </si>
  <si>
    <t>Order ID = 535</t>
  </si>
  <si>
    <t>Order ID = 536</t>
  </si>
  <si>
    <t>Order ID = 537</t>
  </si>
  <si>
    <t>Order ID = 538</t>
  </si>
  <si>
    <t>Order ID = 539</t>
  </si>
  <si>
    <t>Order ID = 540</t>
  </si>
  <si>
    <t>Order ID = 541</t>
  </si>
  <si>
    <t>Order ID = 542</t>
  </si>
  <si>
    <t>Order ID = 543</t>
  </si>
  <si>
    <t>Order ID = 544</t>
  </si>
  <si>
    <t>Order ID = 545</t>
  </si>
  <si>
    <t>Order ID = 546</t>
  </si>
  <si>
    <t>Order ID = 547</t>
  </si>
  <si>
    <t>Order ID = 548</t>
  </si>
  <si>
    <t>Order ID = 549</t>
  </si>
  <si>
    <t>Order ID = 550</t>
  </si>
  <si>
    <t>Order ID = 551</t>
  </si>
  <si>
    <t>Order ID = 552</t>
  </si>
  <si>
    <t>Order ID = 553</t>
  </si>
  <si>
    <t>Order ID = 554</t>
  </si>
  <si>
    <t>Order ID = 555</t>
  </si>
  <si>
    <t>Order ID = 556</t>
  </si>
  <si>
    <t>Order ID = 557</t>
  </si>
  <si>
    <t>Order ID = 558</t>
  </si>
  <si>
    <t>Order ID = 559</t>
  </si>
  <si>
    <t>Order ID = 560</t>
  </si>
  <si>
    <t>Order ID = 561</t>
  </si>
  <si>
    <t>Order ID = 562</t>
  </si>
  <si>
    <t>Order ID = 563</t>
  </si>
  <si>
    <t>Order ID = 564</t>
  </si>
  <si>
    <t>Order ID = 565</t>
  </si>
  <si>
    <t>Order ID = 566</t>
  </si>
  <si>
    <t>Order ID = 567</t>
  </si>
  <si>
    <t>Order ID = 568</t>
  </si>
  <si>
    <t>Order ID = 569</t>
  </si>
  <si>
    <t>Order ID = 570</t>
  </si>
  <si>
    <t>Order ID = 571</t>
  </si>
  <si>
    <t>Order ID = 572</t>
  </si>
  <si>
    <t>Order ID = 573</t>
  </si>
  <si>
    <t>Order ID = 574</t>
  </si>
  <si>
    <t>Order ID = 575</t>
  </si>
  <si>
    <t>Order ID = 576</t>
  </si>
  <si>
    <t>Order ID = 577</t>
  </si>
  <si>
    <t>Order ID = 578</t>
  </si>
  <si>
    <t>Order ID = 579</t>
  </si>
  <si>
    <t>Order ID = 580</t>
  </si>
  <si>
    <t>Order ID = 581</t>
  </si>
  <si>
    <t>Order ID = 582</t>
  </si>
  <si>
    <t>Order ID = 583</t>
  </si>
  <si>
    <t>Order ID = 584</t>
  </si>
  <si>
    <t>Order ID = 585</t>
  </si>
  <si>
    <t>Order ID = 586</t>
  </si>
  <si>
    <t>Order ID = 587</t>
  </si>
  <si>
    <t>Order ID = 588</t>
  </si>
  <si>
    <t>Order ID = 589</t>
  </si>
  <si>
    <t>Order ID = 590</t>
  </si>
  <si>
    <t>Order ID = 591</t>
  </si>
  <si>
    <t>Order ID = 592</t>
  </si>
  <si>
    <t>Order ID = 593</t>
  </si>
  <si>
    <t>Order ID = 594</t>
  </si>
  <si>
    <t>Order ID = 595</t>
  </si>
  <si>
    <t>Order ID = 596</t>
  </si>
  <si>
    <t>Order ID = 597</t>
  </si>
  <si>
    <t>Order ID = 598</t>
  </si>
  <si>
    <t>Order ID = 599</t>
  </si>
  <si>
    <t>Order ID = 600</t>
  </si>
  <si>
    <t>Order ID = 601</t>
  </si>
  <si>
    <t>Order ID = 602</t>
  </si>
  <si>
    <t>Order ID = 603</t>
  </si>
  <si>
    <t>Order ID = 604</t>
  </si>
  <si>
    <t>Order ID = 605</t>
  </si>
  <si>
    <t>Order ID = 606</t>
  </si>
  <si>
    <t>Order ID = 607</t>
  </si>
  <si>
    <t>Order ID = 608</t>
  </si>
  <si>
    <t>Order ID = 609</t>
  </si>
  <si>
    <t>Order ID = 610</t>
  </si>
  <si>
    <t>Order ID = 611</t>
  </si>
  <si>
    <t>Order ID = 612</t>
  </si>
  <si>
    <t>Order ID = 613</t>
  </si>
  <si>
    <t>Order ID = 614</t>
  </si>
  <si>
    <t>Order ID = 615</t>
  </si>
  <si>
    <t>Order ID = 616</t>
  </si>
  <si>
    <t>Order ID = 617</t>
  </si>
  <si>
    <t>Order ID = 618</t>
  </si>
  <si>
    <t>Order ID = 619</t>
  </si>
  <si>
    <t>Order ID = 620</t>
  </si>
  <si>
    <t>Order ID = 621</t>
  </si>
  <si>
    <t>Order ID = 622</t>
  </si>
  <si>
    <t>Order ID = 623</t>
  </si>
  <si>
    <t>Order ID = 624</t>
  </si>
  <si>
    <t>Order ID = 625</t>
  </si>
  <si>
    <t>Order ID = 626</t>
  </si>
  <si>
    <t>Order ID = 627</t>
  </si>
  <si>
    <t>Order ID = 628</t>
  </si>
  <si>
    <t>Order ID = 629</t>
  </si>
  <si>
    <t>Order ID = 630</t>
  </si>
  <si>
    <t>Order ID = 631</t>
  </si>
  <si>
    <t>Order ID = 632</t>
  </si>
  <si>
    <t>Order ID = 633</t>
  </si>
  <si>
    <t>Order ID = 634</t>
  </si>
  <si>
    <t>Order ID = 635</t>
  </si>
  <si>
    <t>Order ID = 636</t>
  </si>
  <si>
    <t>Order ID = 637</t>
  </si>
  <si>
    <t>Order ID = 638</t>
  </si>
  <si>
    <t>Order ID = 639</t>
  </si>
  <si>
    <t>Order ID = 640</t>
  </si>
  <si>
    <t>Order ID = 641</t>
  </si>
  <si>
    <t>Order ID = 642</t>
  </si>
  <si>
    <t>Order ID = 643</t>
  </si>
  <si>
    <t>Order ID = 644</t>
  </si>
  <si>
    <t>Order ID = 645</t>
  </si>
  <si>
    <t>Order ID = 646</t>
  </si>
  <si>
    <t>Order ID = 647</t>
  </si>
  <si>
    <t>Order ID = 648</t>
  </si>
  <si>
    <t>Order ID = 649</t>
  </si>
  <si>
    <t>Order ID = 650</t>
  </si>
  <si>
    <t>Order ID = 651</t>
  </si>
  <si>
    <t>Order ID = 652</t>
  </si>
  <si>
    <t>Order ID = 653</t>
  </si>
  <si>
    <t>Order ID = 654</t>
  </si>
  <si>
    <t>Order ID = 655</t>
  </si>
  <si>
    <t>Order ID = 656</t>
  </si>
  <si>
    <t>Order ID = 657</t>
  </si>
  <si>
    <t>Order ID = 658</t>
  </si>
  <si>
    <t>Order ID = 659</t>
  </si>
  <si>
    <t>Order ID = 660</t>
  </si>
  <si>
    <t>Order ID = 661</t>
  </si>
  <si>
    <t>Order ID = 662</t>
  </si>
  <si>
    <t>Order ID = 663</t>
  </si>
  <si>
    <t>Order ID = 664</t>
  </si>
  <si>
    <t>Order ID = 665</t>
  </si>
  <si>
    <t>Order ID = 666</t>
  </si>
  <si>
    <t>Order ID = 667</t>
  </si>
  <si>
    <t>Order ID = 668</t>
  </si>
  <si>
    <t>Order ID = 669</t>
  </si>
  <si>
    <t>Order ID = 670</t>
  </si>
  <si>
    <t>Order ID = 671</t>
  </si>
  <si>
    <t>Order ID = 672</t>
  </si>
  <si>
    <t>Order ID = 673</t>
  </si>
  <si>
    <t>Order ID = 674</t>
  </si>
  <si>
    <t>Order ID = 675</t>
  </si>
  <si>
    <t>Order ID = 676</t>
  </si>
  <si>
    <t>Order ID = 677</t>
  </si>
  <si>
    <t>Order ID = 678</t>
  </si>
  <si>
    <t>Order ID = 679</t>
  </si>
  <si>
    <t>Order ID = 680</t>
  </si>
  <si>
    <t>Order ID = 681</t>
  </si>
  <si>
    <t>Order ID = 682</t>
  </si>
  <si>
    <t>Order ID = 683</t>
  </si>
  <si>
    <t>Order ID = 684</t>
  </si>
  <si>
    <t>Order ID = 685</t>
  </si>
  <si>
    <t>Order ID = 686</t>
  </si>
  <si>
    <t>Order ID = 687</t>
  </si>
  <si>
    <t>Order ID = 688</t>
  </si>
  <si>
    <t>Order ID = 689</t>
  </si>
  <si>
    <t>Order ID = 690</t>
  </si>
  <si>
    <t>Order ID = 691</t>
  </si>
  <si>
    <t>Order ID = 692</t>
  </si>
  <si>
    <t>Order ID = 693</t>
  </si>
  <si>
    <t>Order ID = 694</t>
  </si>
  <si>
    <t>Order ID = 695</t>
  </si>
  <si>
    <t>Order ID = 696</t>
  </si>
  <si>
    <t>Order ID = 697</t>
  </si>
  <si>
    <t>Order ID = 698</t>
  </si>
  <si>
    <t>Order ID = 699</t>
  </si>
  <si>
    <t>Order ID = 700</t>
  </si>
  <si>
    <t>Order ID = 701</t>
  </si>
  <si>
    <t>Order ID = 702</t>
  </si>
  <si>
    <t>Order ID = 703</t>
  </si>
  <si>
    <t>Order ID = 704</t>
  </si>
  <si>
    <t>Order ID = 705</t>
  </si>
  <si>
    <t>Order ID = 706</t>
  </si>
  <si>
    <t>Order ID = 707</t>
  </si>
  <si>
    <t>Order ID = 708</t>
  </si>
  <si>
    <t>Order ID = 709</t>
  </si>
  <si>
    <t>Order ID = 710</t>
  </si>
  <si>
    <t>Order ID = 711</t>
  </si>
  <si>
    <t>Order ID = 712</t>
  </si>
  <si>
    <t>Order ID = 713</t>
  </si>
  <si>
    <t>Order ID = 714</t>
  </si>
  <si>
    <t>Order ID = 715</t>
  </si>
  <si>
    <t>Order ID = 716</t>
  </si>
  <si>
    <t>Order ID = 717</t>
  </si>
  <si>
    <t>Order ID = 718</t>
  </si>
  <si>
    <t>Order ID = 719</t>
  </si>
  <si>
    <t>Order ID = 720</t>
  </si>
  <si>
    <t>Order ID = 721</t>
  </si>
  <si>
    <t>Order ID = 722</t>
  </si>
  <si>
    <t>Order ID = 723</t>
  </si>
  <si>
    <t>Order ID = 724</t>
  </si>
  <si>
    <t>Order ID = 725</t>
  </si>
  <si>
    <t>Order ID = 726</t>
  </si>
  <si>
    <t>Order ID = 727</t>
  </si>
  <si>
    <t>Order ID = 728</t>
  </si>
  <si>
    <t>Order ID = 729</t>
  </si>
  <si>
    <t>Order ID = 730</t>
  </si>
  <si>
    <t>Order ID = 731</t>
  </si>
  <si>
    <t>Order ID = 732</t>
  </si>
  <si>
    <t>Order ID = 733</t>
  </si>
  <si>
    <t>Order ID = 734</t>
  </si>
  <si>
    <t>Order ID = 735</t>
  </si>
  <si>
    <t>Order ID = 736</t>
  </si>
  <si>
    <t>Order ID = 737</t>
  </si>
  <si>
    <t>Order ID = 738</t>
  </si>
  <si>
    <t>Order ID = 739</t>
  </si>
  <si>
    <t>Order ID = 740</t>
  </si>
  <si>
    <t>Order ID = 741</t>
  </si>
  <si>
    <t>Order ID = 742</t>
  </si>
  <si>
    <t>Order ID = 743</t>
  </si>
  <si>
    <t>Order ID = 744</t>
  </si>
  <si>
    <t>Order ID = 745</t>
  </si>
  <si>
    <t>Order ID = 746</t>
  </si>
  <si>
    <t>Order ID = 747</t>
  </si>
  <si>
    <t>Order ID = 748</t>
  </si>
  <si>
    <t>Order ID = 749</t>
  </si>
  <si>
    <t>Order ID = 750</t>
  </si>
  <si>
    <t>Order ID = 751</t>
  </si>
  <si>
    <t>Order ID = 752</t>
  </si>
  <si>
    <t>Order ID = 753</t>
  </si>
  <si>
    <t>Order ID = 754</t>
  </si>
  <si>
    <t>Order ID = 755</t>
  </si>
  <si>
    <t>Order ID = 756</t>
  </si>
  <si>
    <t>Order ID = 757</t>
  </si>
  <si>
    <t>Order ID = 758</t>
  </si>
  <si>
    <t>Order ID = 759</t>
  </si>
  <si>
    <t>Order ID = 760</t>
  </si>
  <si>
    <t>Order ID = 761</t>
  </si>
  <si>
    <t>Order ID = 762</t>
  </si>
  <si>
    <t>Order ID = 763</t>
  </si>
  <si>
    <t>Order ID = 764</t>
  </si>
  <si>
    <t>Order ID = 765</t>
  </si>
  <si>
    <t>Order ID = 766</t>
  </si>
  <si>
    <t>Order ID = 767</t>
  </si>
  <si>
    <t>Order ID = 768</t>
  </si>
  <si>
    <t>Order ID = 769</t>
  </si>
  <si>
    <t>Order ID = 770</t>
  </si>
  <si>
    <t>Order ID = 771</t>
  </si>
  <si>
    <t>Order ID = 772</t>
  </si>
  <si>
    <t>Order ID = 773</t>
  </si>
  <si>
    <t>Order ID = 774</t>
  </si>
  <si>
    <t>Order ID = 775</t>
  </si>
  <si>
    <t>Order ID = 776</t>
  </si>
  <si>
    <t>Order ID = 777</t>
  </si>
  <si>
    <t>Order ID = 778</t>
  </si>
  <si>
    <t>Order ID = 779</t>
  </si>
  <si>
    <t>Order ID = 780</t>
  </si>
  <si>
    <t>Order ID = 781</t>
  </si>
  <si>
    <t>Order ID = 782</t>
  </si>
  <si>
    <t>Order ID = 783</t>
  </si>
  <si>
    <t>Order ID = 784</t>
  </si>
  <si>
    <t>Order ID = 785</t>
  </si>
  <si>
    <t>Order ID = 786</t>
  </si>
  <si>
    <t>Order ID = 787</t>
  </si>
  <si>
    <t>Order ID = 788</t>
  </si>
  <si>
    <t>Order ID = 789</t>
  </si>
  <si>
    <t>Order ID = 790</t>
  </si>
  <si>
    <t>Order ID = 791</t>
  </si>
  <si>
    <t>Order ID = 792</t>
  </si>
  <si>
    <t>Order ID = 793</t>
  </si>
  <si>
    <t>Order ID = 794</t>
  </si>
  <si>
    <t>Order ID = 795</t>
  </si>
  <si>
    <t>Order ID = 796</t>
  </si>
  <si>
    <t>Order ID = 797</t>
  </si>
  <si>
    <t>Order ID = 798</t>
  </si>
  <si>
    <t>Order ID = 799</t>
  </si>
  <si>
    <t>Order ID = 800</t>
  </si>
  <si>
    <t>Order ID = 801</t>
  </si>
  <si>
    <t>Order ID = 802</t>
  </si>
  <si>
    <t>Order ID = 803</t>
  </si>
  <si>
    <t>Order ID = 804</t>
  </si>
  <si>
    <t>Order ID = 805</t>
  </si>
  <si>
    <t>Order ID = 806</t>
  </si>
  <si>
    <t>Order ID = 807</t>
  </si>
  <si>
    <t>Order ID = 808</t>
  </si>
  <si>
    <t>Order ID = 809</t>
  </si>
  <si>
    <t>Order ID = 810</t>
  </si>
  <si>
    <t>Order ID = 811</t>
  </si>
  <si>
    <t>Order ID = 812</t>
  </si>
  <si>
    <t>Order ID = 813</t>
  </si>
  <si>
    <t>Order ID = 814</t>
  </si>
  <si>
    <t>Order ID = 815</t>
  </si>
  <si>
    <t>Order ID = 816</t>
  </si>
  <si>
    <t>Order ID = 817</t>
  </si>
  <si>
    <t>Order ID = 818</t>
  </si>
  <si>
    <t>Order ID = 819</t>
  </si>
  <si>
    <t>Order ID = 820</t>
  </si>
  <si>
    <t>Order ID = 821</t>
  </si>
  <si>
    <t>Order ID = 822</t>
  </si>
  <si>
    <t>Order ID = 823</t>
  </si>
  <si>
    <t>Order ID = 824</t>
  </si>
  <si>
    <t>Order ID = 825</t>
  </si>
  <si>
    <t>Order ID = 826</t>
  </si>
  <si>
    <t>Order ID = 827</t>
  </si>
  <si>
    <t>Order ID = 828</t>
  </si>
  <si>
    <t>Order ID = 829</t>
  </si>
  <si>
    <t>Order ID = 830</t>
  </si>
  <si>
    <t>Order ID = 831</t>
  </si>
  <si>
    <t>Order ID = 832</t>
  </si>
  <si>
    <t>Order ID = 833</t>
  </si>
  <si>
    <t>Order ID = 834</t>
  </si>
  <si>
    <t>Order ID = 835</t>
  </si>
  <si>
    <t>Order ID = 836</t>
  </si>
  <si>
    <t>Order ID = 837</t>
  </si>
  <si>
    <t>Order ID = 838</t>
  </si>
  <si>
    <t>Order ID = 839</t>
  </si>
  <si>
    <t>Order ID = 840</t>
  </si>
  <si>
    <t>Order ID = 841</t>
  </si>
  <si>
    <t>Order ID = 842</t>
  </si>
  <si>
    <t>Order ID = 843</t>
  </si>
  <si>
    <t>Order ID = 844</t>
  </si>
  <si>
    <t>Order ID = 845</t>
  </si>
  <si>
    <t>Order ID = 846</t>
  </si>
  <si>
    <t>Order ID = 847</t>
  </si>
  <si>
    <t>Order ID = 848</t>
  </si>
  <si>
    <t>Order ID = 849</t>
  </si>
  <si>
    <t>Order ID = 850</t>
  </si>
  <si>
    <t>Order ID = 851</t>
  </si>
  <si>
    <t>Order ID = 852</t>
  </si>
  <si>
    <t>Order ID = 853</t>
  </si>
  <si>
    <t>Order ID = 854</t>
  </si>
  <si>
    <t>Order ID = 855</t>
  </si>
  <si>
    <t>Order ID = 856</t>
  </si>
  <si>
    <t>Order ID = 857</t>
  </si>
  <si>
    <t>Order ID = 858</t>
  </si>
  <si>
    <t>Order ID = 859</t>
  </si>
  <si>
    <t>Order ID = 860</t>
  </si>
  <si>
    <t>Order ID = 861</t>
  </si>
  <si>
    <t>Order ID = 862</t>
  </si>
  <si>
    <t>Order ID = 863</t>
  </si>
  <si>
    <t>Order ID = 864</t>
  </si>
  <si>
    <t>Order ID = 865</t>
  </si>
  <si>
    <t>Order ID = 866</t>
  </si>
  <si>
    <t>Order ID = 867</t>
  </si>
  <si>
    <t>Order ID = 868</t>
  </si>
  <si>
    <t>Order ID = 869</t>
  </si>
  <si>
    <t>Order ID = 870</t>
  </si>
  <si>
    <t>Order ID = 871</t>
  </si>
  <si>
    <t>Order ID = 872</t>
  </si>
  <si>
    <t>Order ID = 873</t>
  </si>
  <si>
    <t>Order ID = 874</t>
  </si>
  <si>
    <t>Order ID = 875</t>
  </si>
  <si>
    <t>Order ID = 876</t>
  </si>
  <si>
    <t>Order ID = 877</t>
  </si>
  <si>
    <t>Order ID = 878</t>
  </si>
  <si>
    <t>Order ID = 879</t>
  </si>
  <si>
    <t>Order ID = 880</t>
  </si>
  <si>
    <t>Order ID = 881</t>
  </si>
  <si>
    <t>Order ID = 882</t>
  </si>
  <si>
    <t>Order ID = 883</t>
  </si>
  <si>
    <t>Order ID = 884</t>
  </si>
  <si>
    <t>Order ID = 885</t>
  </si>
  <si>
    <t>Order ID = 886</t>
  </si>
  <si>
    <t>Order ID = 887</t>
  </si>
  <si>
    <t>Order ID = 888</t>
  </si>
  <si>
    <t>Order ID = 889</t>
  </si>
  <si>
    <t>Order ID = 890</t>
  </si>
  <si>
    <t>Order ID = 891</t>
  </si>
  <si>
    <t>Order ID = 892</t>
  </si>
  <si>
    <t>Order ID = 893</t>
  </si>
  <si>
    <t>Order ID = 894</t>
  </si>
  <si>
    <t>Order ID = 895</t>
  </si>
  <si>
    <t>Order ID = 896</t>
  </si>
  <si>
    <t>Order ID = 897</t>
  </si>
  <si>
    <t>Order ID = 898</t>
  </si>
  <si>
    <t>Order ID = 899</t>
  </si>
  <si>
    <t>Order ID = 900</t>
  </si>
  <si>
    <t>Order ID = 901</t>
  </si>
  <si>
    <t>Order ID = 902</t>
  </si>
  <si>
    <t>Order ID = 903</t>
  </si>
  <si>
    <t>Order ID = 904</t>
  </si>
  <si>
    <t>Order ID = 905</t>
  </si>
  <si>
    <t>Order ID = 906</t>
  </si>
  <si>
    <t>Order ID = 907</t>
  </si>
  <si>
    <t>Order ID = 908</t>
  </si>
  <si>
    <t>Order ID = 909</t>
  </si>
  <si>
    <t>Order ID = 910</t>
  </si>
  <si>
    <t>Order ID = 911</t>
  </si>
  <si>
    <t>Order ID = 912</t>
  </si>
  <si>
    <t>Order ID = 913</t>
  </si>
  <si>
    <t>Order ID = 914</t>
  </si>
  <si>
    <t>Order ID = 915</t>
  </si>
  <si>
    <t>Order ID = 916</t>
  </si>
  <si>
    <t>Order ID = 917</t>
  </si>
  <si>
    <t>Order ID = 918</t>
  </si>
  <si>
    <t>Order ID = 919</t>
  </si>
  <si>
    <t>Order ID = 920</t>
  </si>
  <si>
    <t>Order ID = 921</t>
  </si>
  <si>
    <t>Order ID = 922</t>
  </si>
  <si>
    <t>Order ID = 923</t>
  </si>
  <si>
    <t>Order ID = 924</t>
  </si>
  <si>
    <t>Order ID = 925</t>
  </si>
  <si>
    <t>Order ID = 926</t>
  </si>
  <si>
    <t>Order ID = 927</t>
  </si>
  <si>
    <t>Order ID = 928</t>
  </si>
  <si>
    <t>Order ID = 929</t>
  </si>
  <si>
    <t>Order ID = 930</t>
  </si>
  <si>
    <t>Order ID = 931</t>
  </si>
  <si>
    <t>Order ID = 932</t>
  </si>
  <si>
    <t>Order ID = 933</t>
  </si>
  <si>
    <t>Order ID = 934</t>
  </si>
  <si>
    <t>Order ID = 935</t>
  </si>
  <si>
    <t>Order ID = 936</t>
  </si>
  <si>
    <t>Order ID = 937</t>
  </si>
  <si>
    <t>Order ID = 938</t>
  </si>
  <si>
    <t>Order ID = 939</t>
  </si>
  <si>
    <t>Order ID = 940</t>
  </si>
  <si>
    <t>Order ID = 941</t>
  </si>
  <si>
    <t>Order ID = 942</t>
  </si>
  <si>
    <t>Order ID = 943</t>
  </si>
  <si>
    <t>Order ID = 944</t>
  </si>
  <si>
    <t>Order ID = 945</t>
  </si>
  <si>
    <t>Order ID = 946</t>
  </si>
  <si>
    <t>Order ID = 947</t>
  </si>
  <si>
    <t>Order ID = 948</t>
  </si>
  <si>
    <t>Order ID = 949</t>
  </si>
  <si>
    <t>Order ID = 950</t>
  </si>
  <si>
    <t>Order ID = 951</t>
  </si>
  <si>
    <t>Order ID = 952</t>
  </si>
  <si>
    <t>Order ID = 953</t>
  </si>
  <si>
    <t>Order ID = 954</t>
  </si>
  <si>
    <t>Order ID = 955</t>
  </si>
  <si>
    <t>Order ID = 956</t>
  </si>
  <si>
    <t>Order ID = 957</t>
  </si>
  <si>
    <t>Order ID = 958</t>
  </si>
  <si>
    <t>Order ID = 959</t>
  </si>
  <si>
    <t>Order ID = 960</t>
  </si>
  <si>
    <t>Order ID = 961</t>
  </si>
  <si>
    <t>Order ID = 962</t>
  </si>
  <si>
    <t>Order ID = 963</t>
  </si>
  <si>
    <t>Order ID = 964</t>
  </si>
  <si>
    <t>Order ID = 965</t>
  </si>
  <si>
    <t>Order ID = 966</t>
  </si>
  <si>
    <t>Order ID = 967</t>
  </si>
  <si>
    <t>Order ID = 968</t>
  </si>
  <si>
    <t>Order ID = 969</t>
  </si>
  <si>
    <t>Order ID = 970</t>
  </si>
  <si>
    <t>Order ID = 971</t>
  </si>
  <si>
    <t>Order ID = 972</t>
  </si>
  <si>
    <t>Order ID = 973</t>
  </si>
  <si>
    <t>Order ID = 974</t>
  </si>
  <si>
    <t>Order ID = 975</t>
  </si>
  <si>
    <t>Order ID = 976</t>
  </si>
  <si>
    <t>Order ID = 977</t>
  </si>
  <si>
    <t>Order ID = 978</t>
  </si>
  <si>
    <t>Order ID = 979</t>
  </si>
  <si>
    <t>Order ID = 980</t>
  </si>
  <si>
    <t>Order ID = 981</t>
  </si>
  <si>
    <t>Order ID = 982</t>
  </si>
  <si>
    <t>Order ID = 983</t>
  </si>
  <si>
    <t>Order ID = 984</t>
  </si>
  <si>
    <t>Order ID = 985</t>
  </si>
  <si>
    <t>Order ID = 986</t>
  </si>
  <si>
    <t>Order ID = 987</t>
  </si>
  <si>
    <t>Order ID = 988</t>
  </si>
  <si>
    <t>Order ID = 989</t>
  </si>
  <si>
    <t>Order ID = 990</t>
  </si>
  <si>
    <t>Order ID = 991</t>
  </si>
  <si>
    <t>Order ID = 992</t>
  </si>
  <si>
    <t>Order ID = 993</t>
  </si>
  <si>
    <t>Order ID = 994</t>
  </si>
  <si>
    <t>Order ID = 995</t>
  </si>
  <si>
    <t>Order ID = 996</t>
  </si>
  <si>
    <t>Order ID = 997</t>
  </si>
  <si>
    <t>Order ID = 998</t>
  </si>
  <si>
    <t>Order ID = 999</t>
  </si>
  <si>
    <t>Order ID = 1000</t>
  </si>
  <si>
    <t>Order ID = 1001</t>
  </si>
  <si>
    <t>Order ID = 1002</t>
  </si>
  <si>
    <t>Order ID = 1003</t>
  </si>
  <si>
    <t>Order ID = 1004</t>
  </si>
  <si>
    <t>Order ID = 1005</t>
  </si>
  <si>
    <t>Order ID = 1006</t>
  </si>
  <si>
    <t>Order ID = 1007</t>
  </si>
  <si>
    <t>Order ID = 1008</t>
  </si>
  <si>
    <t>Order ID = 1009</t>
  </si>
  <si>
    <t>Order ID = 1010</t>
  </si>
  <si>
    <t>Order ID = 1011</t>
  </si>
  <si>
    <t>Order ID = 1012</t>
  </si>
  <si>
    <t>Order ID = 1013</t>
  </si>
  <si>
    <t>Order ID = 1014</t>
  </si>
  <si>
    <t>Order ID = 1015</t>
  </si>
  <si>
    <t>Order ID = 1016</t>
  </si>
  <si>
    <t>Order ID = 1017</t>
  </si>
  <si>
    <t>Order ID = 1018</t>
  </si>
  <si>
    <t>Order ID = 1019</t>
  </si>
  <si>
    <t>Order ID = 1020</t>
  </si>
  <si>
    <t>Order ID = 1021</t>
  </si>
  <si>
    <t>Order ID = 1022</t>
  </si>
  <si>
    <t>Order ID = 1023</t>
  </si>
  <si>
    <t>Order ID = 1024</t>
  </si>
  <si>
    <t>Order ID = 1025</t>
  </si>
  <si>
    <t>Order ID = 1026</t>
  </si>
  <si>
    <t>Order ID = 1027</t>
  </si>
  <si>
    <t>Order ID = 1028</t>
  </si>
  <si>
    <t>Order ID = 1029</t>
  </si>
  <si>
    <t>Order ID = 1030</t>
  </si>
  <si>
    <t>Order ID = 1031</t>
  </si>
  <si>
    <t>Order ID = 1032</t>
  </si>
  <si>
    <t>Order ID = 1033</t>
  </si>
  <si>
    <t>Order ID = 1034</t>
  </si>
  <si>
    <t>Order ID = 1035</t>
  </si>
  <si>
    <t>Order ID = 1036</t>
  </si>
  <si>
    <t>Order ID = 1037</t>
  </si>
  <si>
    <t>Order ID = 1038</t>
  </si>
  <si>
    <t>Order ID = 1039</t>
  </si>
  <si>
    <t>Order ID = 1040</t>
  </si>
  <si>
    <t>Order ID = 1041</t>
  </si>
  <si>
    <t>Order ID = 1042</t>
  </si>
  <si>
    <t>Order ID = 1043</t>
  </si>
  <si>
    <t>Order ID = 1044</t>
  </si>
  <si>
    <t>Order ID = 1045</t>
  </si>
  <si>
    <t>Order ID = 1046</t>
  </si>
  <si>
    <t>Order ID = 1047</t>
  </si>
  <si>
    <t>Order ID = 1048</t>
  </si>
  <si>
    <t>Order ID = 1049</t>
  </si>
  <si>
    <t>Order ID = 1050</t>
  </si>
  <si>
    <t>Order ID = 1051</t>
  </si>
  <si>
    <t>Order ID = 1052</t>
  </si>
  <si>
    <t>Order ID = 1053</t>
  </si>
  <si>
    <t>Order ID = 1054</t>
  </si>
  <si>
    <t>Order ID = 1055</t>
  </si>
  <si>
    <t>Order ID = 1056</t>
  </si>
  <si>
    <t>Order ID = 1057</t>
  </si>
  <si>
    <t>Order ID = 1058</t>
  </si>
  <si>
    <t>Order ID = 1059</t>
  </si>
  <si>
    <t>Order ID = 1060</t>
  </si>
  <si>
    <t>Order ID = 1061</t>
  </si>
  <si>
    <t>Order ID = 1062</t>
  </si>
  <si>
    <t>Order ID = 1063</t>
  </si>
  <si>
    <t>Order ID = 1064</t>
  </si>
  <si>
    <t>Order ID = 1065</t>
  </si>
  <si>
    <t>Order ID = 1066</t>
  </si>
  <si>
    <t>Order ID = 1067</t>
  </si>
  <si>
    <t>Order ID = 1068</t>
  </si>
  <si>
    <t>Order ID = 1069</t>
  </si>
  <si>
    <t>Order ID = 1070</t>
  </si>
  <si>
    <t>Order ID = 1071</t>
  </si>
  <si>
    <t>Order ID = 1072</t>
  </si>
  <si>
    <t>Order ID = 1073</t>
  </si>
  <si>
    <t>Order ID = 1074</t>
  </si>
  <si>
    <t>Order ID = 1075</t>
  </si>
  <si>
    <t>Order ID = 1076</t>
  </si>
  <si>
    <t>Order ID = 1077</t>
  </si>
  <si>
    <t>Order ID = 1078</t>
  </si>
  <si>
    <t>Order ID = 1079</t>
  </si>
  <si>
    <t>Order ID = 1080</t>
  </si>
  <si>
    <t>Order ID = 1081</t>
  </si>
  <si>
    <t>Order ID = 1082</t>
  </si>
  <si>
    <t>Order ID = 1083</t>
  </si>
  <si>
    <t>Order ID = 1084</t>
  </si>
  <si>
    <t>Order ID = 1085</t>
  </si>
  <si>
    <t>Order ID = 1086</t>
  </si>
  <si>
    <t>Order ID = 1087</t>
  </si>
  <si>
    <t>Order ID = 1088</t>
  </si>
  <si>
    <t>Order ID = 1089</t>
  </si>
  <si>
    <t>Order ID = 1090</t>
  </si>
  <si>
    <t>Order ID = 1091</t>
  </si>
  <si>
    <t>Order ID = 1092</t>
  </si>
  <si>
    <t>Order ID = 1093</t>
  </si>
  <si>
    <t>Order ID = 1094</t>
  </si>
  <si>
    <t>Order ID = 1095</t>
  </si>
  <si>
    <t>Order ID = 1096</t>
  </si>
  <si>
    <t>Order ID = 1097</t>
  </si>
  <si>
    <t>Order ID = 1098</t>
  </si>
  <si>
    <t>Order ID = 1099</t>
  </si>
  <si>
    <t>Order ID = 1100</t>
  </si>
  <si>
    <t>Order ID = 1101</t>
  </si>
  <si>
    <t>Order ID = 1102</t>
  </si>
  <si>
    <t>Order ID = 1103</t>
  </si>
  <si>
    <t>Order ID = 1104</t>
  </si>
  <si>
    <t>Order ID = 1105</t>
  </si>
  <si>
    <t>Order ID = 1106</t>
  </si>
  <si>
    <t>Order ID = 1107</t>
  </si>
  <si>
    <t>Order ID = 1108</t>
  </si>
  <si>
    <t>Order ID = 1109</t>
  </si>
  <si>
    <t>Order ID = 1110</t>
  </si>
  <si>
    <t>Order ID = 1111</t>
  </si>
  <si>
    <t>Order ID = 1112</t>
  </si>
  <si>
    <t>Order ID = 1113</t>
  </si>
  <si>
    <t>Order ID = 1114</t>
  </si>
  <si>
    <t>Order ID = 1115</t>
  </si>
  <si>
    <t>Order ID = 1116</t>
  </si>
  <si>
    <t>Order ID = 1117</t>
  </si>
  <si>
    <t>Order ID = 1118</t>
  </si>
  <si>
    <t>Order ID = 1119</t>
  </si>
  <si>
    <t>Order ID = 1120</t>
  </si>
  <si>
    <t>Order ID = 1121</t>
  </si>
  <si>
    <t>Order ID = 1122</t>
  </si>
  <si>
    <t>Order ID = 1123</t>
  </si>
  <si>
    <t>Order ID = 1124</t>
  </si>
  <si>
    <t>Order ID = 1125</t>
  </si>
  <si>
    <t>Order ID = 1126</t>
  </si>
  <si>
    <t>Order ID = 1127</t>
  </si>
  <si>
    <t>Order ID = 1128</t>
  </si>
  <si>
    <t>Order ID = 1129</t>
  </si>
  <si>
    <t>Order ID = 1130</t>
  </si>
  <si>
    <t>Order ID = 1131</t>
  </si>
  <si>
    <t>Order ID = 1132</t>
  </si>
  <si>
    <t>Order ID = 1133</t>
  </si>
  <si>
    <t>Order ID = 1134</t>
  </si>
  <si>
    <t>Order ID = 1135</t>
  </si>
  <si>
    <t>Order ID = 1136</t>
  </si>
  <si>
    <t>Order ID = 1137</t>
  </si>
  <si>
    <t>Order ID = 1138</t>
  </si>
  <si>
    <t>Order ID = 1139</t>
  </si>
  <si>
    <t>Order ID = 1140</t>
  </si>
  <si>
    <t>Order ID = 1141</t>
  </si>
  <si>
    <t>Order ID = 1142</t>
  </si>
  <si>
    <t>Order ID = 1143</t>
  </si>
  <si>
    <t>Order ID = 1144</t>
  </si>
  <si>
    <t>Order ID = 1145</t>
  </si>
  <si>
    <t>Order ID = 1146</t>
  </si>
  <si>
    <t>Order ID = 1147</t>
  </si>
  <si>
    <t>Order ID = 1148</t>
  </si>
  <si>
    <t>Order ID = 1149</t>
  </si>
  <si>
    <t>Order ID = 1150</t>
  </si>
  <si>
    <t>Order ID = 1151</t>
  </si>
  <si>
    <t>Order ID = 1152</t>
  </si>
  <si>
    <t>Order ID = 1153</t>
  </si>
  <si>
    <t>Order ID = 1154</t>
  </si>
  <si>
    <t>Order ID = 1155</t>
  </si>
  <si>
    <t>Order ID = 1156</t>
  </si>
  <si>
    <t>Order ID = 1157</t>
  </si>
  <si>
    <t>Order ID = 1158</t>
  </si>
  <si>
    <t>Order ID = 1159</t>
  </si>
  <si>
    <t>Order ID = 1160</t>
  </si>
  <si>
    <t>Order ID = 1161</t>
  </si>
  <si>
    <t>Order ID = 1162</t>
  </si>
  <si>
    <t>Order ID = 1163</t>
  </si>
  <si>
    <t>Order ID = 1164</t>
  </si>
  <si>
    <t>Order ID = 1165</t>
  </si>
  <si>
    <t>Order ID = 1166</t>
  </si>
  <si>
    <t>Order ID = 1167</t>
  </si>
  <si>
    <t>Order ID = 1168</t>
  </si>
  <si>
    <t>Order ID = 1169</t>
  </si>
  <si>
    <t>Order ID = 1170</t>
  </si>
  <si>
    <t>Order ID = 1171</t>
  </si>
  <si>
    <t>Order ID = 1172</t>
  </si>
  <si>
    <t>Order ID = 1173</t>
  </si>
  <si>
    <t>Order ID = 1174</t>
  </si>
  <si>
    <t>Order ID = 1175</t>
  </si>
  <si>
    <t>Order ID = 1176</t>
  </si>
  <si>
    <t>Order ID = 1177</t>
  </si>
  <si>
    <t>Order ID = 1178</t>
  </si>
  <si>
    <t>Order ID = 1179</t>
  </si>
  <si>
    <t>Order ID = 1180</t>
  </si>
  <si>
    <t>Order ID = 1181</t>
  </si>
  <si>
    <t>Order ID = 1182</t>
  </si>
  <si>
    <t>Order ID = 1183</t>
  </si>
  <si>
    <t>Order ID = 1184</t>
  </si>
  <si>
    <t>Order ID = 1185</t>
  </si>
  <si>
    <t>Order ID = 1186</t>
  </si>
  <si>
    <t>Order ID = 1187</t>
  </si>
  <si>
    <t>Order ID = 1188</t>
  </si>
  <si>
    <t>Order ID = 1189</t>
  </si>
  <si>
    <t>Order ID = 1190</t>
  </si>
  <si>
    <t>Order ID = 1191</t>
  </si>
  <si>
    <t>Order ID = 1192</t>
  </si>
  <si>
    <t>Order ID = 1193</t>
  </si>
  <si>
    <t>Order ID = 1194</t>
  </si>
  <si>
    <t>Order ID = 1195</t>
  </si>
  <si>
    <t>Order ID = 1196</t>
  </si>
  <si>
    <t>Order ID = 1197</t>
  </si>
  <si>
    <t>Order ID = 1198</t>
  </si>
  <si>
    <t>Order ID = 1199</t>
  </si>
  <si>
    <t>Order ID = 1200</t>
  </si>
  <si>
    <t>Order ID = 1201</t>
  </si>
  <si>
    <t>Order ID = 1202</t>
  </si>
  <si>
    <t>Order ID = 1203</t>
  </si>
  <si>
    <t>Order ID = 1204</t>
  </si>
  <si>
    <t>Order ID = 1205</t>
  </si>
  <si>
    <t>Order ID = 1206</t>
  </si>
  <si>
    <t>Order ID = 1207</t>
  </si>
  <si>
    <t>Order ID = 1208</t>
  </si>
  <si>
    <t>Order ID = 1209</t>
  </si>
  <si>
    <t>Order ID = 1210</t>
  </si>
  <si>
    <t>Order ID = 1211</t>
  </si>
  <si>
    <t>Order ID = 1212</t>
  </si>
  <si>
    <t>Order ID = 1213</t>
  </si>
  <si>
    <t>Order ID = 1214</t>
  </si>
  <si>
    <t>Order ID = 1215</t>
  </si>
  <si>
    <t>Order ID = 1216</t>
  </si>
  <si>
    <t>Order ID = 1217</t>
  </si>
  <si>
    <t>Order ID = 1218</t>
  </si>
  <si>
    <t>Order ID = 1219</t>
  </si>
  <si>
    <t>Order ID = 1220</t>
  </si>
  <si>
    <t>Order ID = 1221</t>
  </si>
  <si>
    <t>Order ID = 1222</t>
  </si>
  <si>
    <t>Order ID = 1223</t>
  </si>
  <si>
    <t>Order ID = 1224</t>
  </si>
  <si>
    <t>Order ID = 1225</t>
  </si>
  <si>
    <t>Order ID = 1226</t>
  </si>
  <si>
    <t>Order ID = 1227</t>
  </si>
  <si>
    <t>Order ID = 1228</t>
  </si>
  <si>
    <t>Order ID = 1229</t>
  </si>
  <si>
    <t>Order ID = 1230</t>
  </si>
  <si>
    <t>Order ID = 1231</t>
  </si>
  <si>
    <t>Order ID = 1232</t>
  </si>
  <si>
    <t>Order ID = 1233</t>
  </si>
  <si>
    <t>Order ID = 1234</t>
  </si>
  <si>
    <t>Order ID = 1235</t>
  </si>
  <si>
    <t>Order ID = 1236</t>
  </si>
  <si>
    <t>Order ID = 1237</t>
  </si>
  <si>
    <t>Order ID = 1238</t>
  </si>
  <si>
    <t>Order ID = 1239</t>
  </si>
  <si>
    <t>Order ID = 1240</t>
  </si>
  <si>
    <t>Order ID = 1241</t>
  </si>
  <si>
    <t>Order ID = 1242</t>
  </si>
  <si>
    <t>Order ID = 1243</t>
  </si>
  <si>
    <t>Order ID = 1244</t>
  </si>
  <si>
    <t>Order ID = 1245</t>
  </si>
  <si>
    <t>Order ID = 1246</t>
  </si>
  <si>
    <t>Order ID = 1247</t>
  </si>
  <si>
    <t>Order ID = 1248</t>
  </si>
  <si>
    <t>Order ID = 1249</t>
  </si>
  <si>
    <t>Order ID = 1250</t>
  </si>
  <si>
    <t>Order ID = 1251</t>
  </si>
  <si>
    <t>Order ID = 1252</t>
  </si>
  <si>
    <t>Order ID = 1253</t>
  </si>
  <si>
    <t>Order ID = 1254</t>
  </si>
  <si>
    <t>Order ID = 1255</t>
  </si>
  <si>
    <t>Order ID = 1256</t>
  </si>
  <si>
    <t>Order ID = 1257</t>
  </si>
  <si>
    <t>Order ID = 1258</t>
  </si>
  <si>
    <t>Order ID = 1259</t>
  </si>
  <si>
    <t>Order ID = 1260</t>
  </si>
  <si>
    <t>Order ID = 1261</t>
  </si>
  <si>
    <t>Order ID = 1262</t>
  </si>
  <si>
    <t>Order ID = 1263</t>
  </si>
  <si>
    <t>Order ID = 1264</t>
  </si>
  <si>
    <t>Order ID = 1265</t>
  </si>
  <si>
    <t>Order ID = 1266</t>
  </si>
  <si>
    <t>Order ID = 1267</t>
  </si>
  <si>
    <t>Order ID = 1268</t>
  </si>
  <si>
    <t>Order ID = 1269</t>
  </si>
  <si>
    <t>Order ID = 1270</t>
  </si>
  <si>
    <t>Order ID = 1271</t>
  </si>
  <si>
    <t>Order ID = 1272</t>
  </si>
  <si>
    <t>Order ID = 1273</t>
  </si>
  <si>
    <t>Order ID = 1274</t>
  </si>
  <si>
    <t>Order ID = 1275</t>
  </si>
  <si>
    <t>Order ID = 1276</t>
  </si>
  <si>
    <t>Order ID = 1277</t>
  </si>
  <si>
    <t>Order ID = 1278</t>
  </si>
  <si>
    <t>Order ID = 1279</t>
  </si>
  <si>
    <t>Order ID = 1280</t>
  </si>
  <si>
    <t>Order ID = 1281</t>
  </si>
  <si>
    <t>Order ID = 1282</t>
  </si>
  <si>
    <t>Order ID = 1283</t>
  </si>
  <si>
    <t>Order ID = 1284</t>
  </si>
  <si>
    <t>Order ID = 1285</t>
  </si>
  <si>
    <t>Order ID = 1286</t>
  </si>
  <si>
    <t>Order ID = 1287</t>
  </si>
  <si>
    <t>Order ID = 1288</t>
  </si>
  <si>
    <t>Order ID = 1289</t>
  </si>
  <si>
    <t>Order ID = 1290</t>
  </si>
  <si>
    <t>Order ID = 1291</t>
  </si>
  <si>
    <t>Order ID = 1292</t>
  </si>
  <si>
    <t>Order ID = 1293</t>
  </si>
  <si>
    <t>Order ID = 1294</t>
  </si>
  <si>
    <t>Order ID = 1295</t>
  </si>
  <si>
    <t>Order ID = 1296</t>
  </si>
  <si>
    <t>Order ID = 1297</t>
  </si>
  <si>
    <t>Order ID = 1298</t>
  </si>
  <si>
    <t>Order ID = 1299</t>
  </si>
  <si>
    <t>Order ID = 1300</t>
  </si>
  <si>
    <t>1.Total Order</t>
  </si>
  <si>
    <t>2. Total Sales</t>
  </si>
  <si>
    <t>3.Total Comission</t>
  </si>
  <si>
    <t>4.Net Sales</t>
  </si>
  <si>
    <t>Count of Order ID.1</t>
  </si>
  <si>
    <t>Sum of Total Sales</t>
  </si>
  <si>
    <t>Sum of Total Comission</t>
  </si>
  <si>
    <t>Sum of Net Sales</t>
  </si>
  <si>
    <t>KPI</t>
  </si>
  <si>
    <t>Chart</t>
  </si>
  <si>
    <t>2. Total Qty Sold Across all the products</t>
  </si>
  <si>
    <t>Row Labels</t>
  </si>
  <si>
    <t>Grand Total</t>
  </si>
  <si>
    <t>Sum of Quantity</t>
  </si>
  <si>
    <t>3. Total sales done by each sale rep</t>
  </si>
  <si>
    <t>4.Total Comission earned by each sales Rep</t>
  </si>
  <si>
    <t>5. Total order by Each state</t>
  </si>
  <si>
    <t>1. Total Orders By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</si>
</sst>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2018 Dashboard.xlsx]Sheet1!PivotTable6</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Sheet1!$B$10</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Sheet1!$A$11:$A$16</c:f>
              <c:strCache>
                <c:ptCount val="5"/>
                <c:pt idx="0">
                  <c:v>Diary</c:v>
                </c:pt>
                <c:pt idx="1">
                  <c:v>Office Chair</c:v>
                </c:pt>
                <c:pt idx="2">
                  <c:v>Printer</c:v>
                </c:pt>
                <c:pt idx="3">
                  <c:v>Projector</c:v>
                </c:pt>
                <c:pt idx="4">
                  <c:v>White Board</c:v>
                </c:pt>
              </c:strCache>
            </c:strRef>
          </c:cat>
          <c:val>
            <c:numRef>
              <c:f>Sheet1!$B$11:$B$16</c:f>
              <c:numCache>
                <c:formatCode>General</c:formatCode>
                <c:ptCount val="5"/>
                <c:pt idx="0">
                  <c:v>3071</c:v>
                </c:pt>
                <c:pt idx="1">
                  <c:v>2648</c:v>
                </c:pt>
                <c:pt idx="2">
                  <c:v>3823</c:v>
                </c:pt>
                <c:pt idx="3">
                  <c:v>3067</c:v>
                </c:pt>
                <c:pt idx="4">
                  <c:v>4027</c:v>
                </c:pt>
              </c:numCache>
            </c:numRef>
          </c:val>
          <c:extLst>
            <c:ext xmlns:c16="http://schemas.microsoft.com/office/drawing/2014/chart" uri="{C3380CC4-5D6E-409C-BE32-E72D297353CC}">
              <c16:uniqueId val="{00000000-2F4B-49C8-AA67-2F2B6645FE8A}"/>
            </c:ext>
          </c:extLst>
        </c:ser>
        <c:dLbls>
          <c:showLegendKey val="0"/>
          <c:showVal val="1"/>
          <c:showCatName val="0"/>
          <c:showSerName val="0"/>
          <c:showPercent val="0"/>
          <c:showBubbleSize val="0"/>
        </c:dLbls>
        <c:gapWidth val="84"/>
        <c:gapDepth val="53"/>
        <c:shape val="box"/>
        <c:axId val="1660697199"/>
        <c:axId val="1660713999"/>
        <c:axId val="0"/>
      </c:bar3DChart>
      <c:catAx>
        <c:axId val="1660697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713999"/>
        <c:crosses val="autoZero"/>
        <c:auto val="1"/>
        <c:lblAlgn val="ctr"/>
        <c:lblOffset val="100"/>
        <c:noMultiLvlLbl val="0"/>
      </c:catAx>
      <c:valAx>
        <c:axId val="1660713999"/>
        <c:scaling>
          <c:orientation val="minMax"/>
        </c:scaling>
        <c:delete val="1"/>
        <c:axPos val="l"/>
        <c:numFmt formatCode="General" sourceLinked="1"/>
        <c:majorTickMark val="out"/>
        <c:minorTickMark val="none"/>
        <c:tickLblPos val="nextTo"/>
        <c:crossAx val="166069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2018 Dashboard.xlsx]Sheet1!PivotTable7</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Sheet1!$B$22</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Sheet1!$A$23:$A$28</c:f>
              <c:strCache>
                <c:ptCount val="5"/>
                <c:pt idx="0">
                  <c:v>Bob</c:v>
                </c:pt>
                <c:pt idx="1">
                  <c:v>John</c:v>
                </c:pt>
                <c:pt idx="2">
                  <c:v>Laura</c:v>
                </c:pt>
                <c:pt idx="3">
                  <c:v>Mark</c:v>
                </c:pt>
                <c:pt idx="4">
                  <c:v>Stacey</c:v>
                </c:pt>
              </c:strCache>
            </c:strRef>
          </c:cat>
          <c:val>
            <c:numRef>
              <c:f>Sheet1!$B$23:$B$28</c:f>
              <c:numCache>
                <c:formatCode>General</c:formatCode>
                <c:ptCount val="5"/>
                <c:pt idx="0">
                  <c:v>306530</c:v>
                </c:pt>
                <c:pt idx="1">
                  <c:v>320220</c:v>
                </c:pt>
                <c:pt idx="2">
                  <c:v>307656</c:v>
                </c:pt>
                <c:pt idx="3">
                  <c:v>321258</c:v>
                </c:pt>
                <c:pt idx="4">
                  <c:v>329482</c:v>
                </c:pt>
              </c:numCache>
            </c:numRef>
          </c:val>
          <c:extLst>
            <c:ext xmlns:c16="http://schemas.microsoft.com/office/drawing/2014/chart" uri="{C3380CC4-5D6E-409C-BE32-E72D297353CC}">
              <c16:uniqueId val="{00000000-A56F-44F8-A220-1C6A99CD9003}"/>
            </c:ext>
          </c:extLst>
        </c:ser>
        <c:dLbls>
          <c:showLegendKey val="0"/>
          <c:showVal val="1"/>
          <c:showCatName val="0"/>
          <c:showSerName val="0"/>
          <c:showPercent val="0"/>
          <c:showBubbleSize val="0"/>
        </c:dLbls>
        <c:gapWidth val="84"/>
        <c:gapDepth val="53"/>
        <c:shape val="box"/>
        <c:axId val="1660701039"/>
        <c:axId val="1660717839"/>
        <c:axId val="0"/>
      </c:bar3DChart>
      <c:catAx>
        <c:axId val="166070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717839"/>
        <c:crosses val="autoZero"/>
        <c:auto val="1"/>
        <c:lblAlgn val="ctr"/>
        <c:lblOffset val="100"/>
        <c:noMultiLvlLbl val="0"/>
      </c:catAx>
      <c:valAx>
        <c:axId val="1660717839"/>
        <c:scaling>
          <c:orientation val="minMax"/>
        </c:scaling>
        <c:delete val="1"/>
        <c:axPos val="b"/>
        <c:numFmt formatCode="General" sourceLinked="1"/>
        <c:majorTickMark val="out"/>
        <c:minorTickMark val="none"/>
        <c:tickLblPos val="nextTo"/>
        <c:crossAx val="166070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2018 Dashboard.xlsx]Sheet1!PivotTable8</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Sheet1!$B$34</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Sheet1!$A$35:$A$40</c:f>
              <c:strCache>
                <c:ptCount val="5"/>
                <c:pt idx="0">
                  <c:v>Bob</c:v>
                </c:pt>
                <c:pt idx="1">
                  <c:v>John</c:v>
                </c:pt>
                <c:pt idx="2">
                  <c:v>Laura</c:v>
                </c:pt>
                <c:pt idx="3">
                  <c:v>Mark</c:v>
                </c:pt>
                <c:pt idx="4">
                  <c:v>Stacey</c:v>
                </c:pt>
              </c:strCache>
            </c:strRef>
          </c:cat>
          <c:val>
            <c:numRef>
              <c:f>Sheet1!$B$35:$B$40</c:f>
              <c:numCache>
                <c:formatCode>General</c:formatCode>
                <c:ptCount val="5"/>
                <c:pt idx="0">
                  <c:v>23576.700000000012</c:v>
                </c:pt>
                <c:pt idx="1">
                  <c:v>17874.340000000018</c:v>
                </c:pt>
                <c:pt idx="2">
                  <c:v>17621.360000000004</c:v>
                </c:pt>
                <c:pt idx="3">
                  <c:v>21012.360000000004</c:v>
                </c:pt>
                <c:pt idx="4">
                  <c:v>20075.480000000003</c:v>
                </c:pt>
              </c:numCache>
            </c:numRef>
          </c:val>
          <c:extLst>
            <c:ext xmlns:c16="http://schemas.microsoft.com/office/drawing/2014/chart" uri="{C3380CC4-5D6E-409C-BE32-E72D297353CC}">
              <c16:uniqueId val="{00000000-46F6-4B3A-81B8-326964797F4C}"/>
            </c:ext>
          </c:extLst>
        </c:ser>
        <c:dLbls>
          <c:showLegendKey val="0"/>
          <c:showVal val="1"/>
          <c:showCatName val="0"/>
          <c:showSerName val="0"/>
          <c:showPercent val="0"/>
          <c:showBubbleSize val="0"/>
        </c:dLbls>
        <c:gapWidth val="84"/>
        <c:gapDepth val="53"/>
        <c:shape val="box"/>
        <c:axId val="1660724079"/>
        <c:axId val="1660721199"/>
        <c:axId val="0"/>
      </c:bar3DChart>
      <c:catAx>
        <c:axId val="1660724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721199"/>
        <c:crosses val="autoZero"/>
        <c:auto val="1"/>
        <c:lblAlgn val="ctr"/>
        <c:lblOffset val="100"/>
        <c:noMultiLvlLbl val="0"/>
      </c:catAx>
      <c:valAx>
        <c:axId val="1660721199"/>
        <c:scaling>
          <c:orientation val="minMax"/>
        </c:scaling>
        <c:delete val="1"/>
        <c:axPos val="l"/>
        <c:numFmt formatCode="General" sourceLinked="1"/>
        <c:majorTickMark val="out"/>
        <c:minorTickMark val="none"/>
        <c:tickLblPos val="nextTo"/>
        <c:crossAx val="166072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2018 Dashboard.xlsx]Sheet1!PivotTable12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Sheet1!$B$64</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Sheet1!$A$65:$A$96</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Sheet1!$B$65:$B$96</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0-A579-4E50-AE32-6A1D2ADDE104}"/>
            </c:ext>
          </c:extLst>
        </c:ser>
        <c:dLbls>
          <c:showLegendKey val="0"/>
          <c:showVal val="0"/>
          <c:showCatName val="0"/>
          <c:showSerName val="0"/>
          <c:showPercent val="0"/>
          <c:showBubbleSize val="0"/>
        </c:dLbls>
        <c:marker val="1"/>
        <c:smooth val="0"/>
        <c:axId val="1660671759"/>
        <c:axId val="1660681839"/>
      </c:lineChart>
      <c:catAx>
        <c:axId val="16606717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681839"/>
        <c:crosses val="autoZero"/>
        <c:auto val="1"/>
        <c:lblAlgn val="ctr"/>
        <c:lblOffset val="100"/>
        <c:noMultiLvlLbl val="0"/>
      </c:catAx>
      <c:valAx>
        <c:axId val="1660681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67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2018 Dashboard.xlsx]Sheet1!PivotTable6</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200"/>
              <a:t>Item</a:t>
            </a:r>
            <a:r>
              <a:rPr lang="en-US" sz="1200" baseline="0"/>
              <a:t> Wise QTY Sold</a:t>
            </a:r>
            <a:endParaRPr lang="en-US" sz="1200"/>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Sheet1!$B$10</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Sheet1!$A$11:$A$16</c:f>
              <c:strCache>
                <c:ptCount val="5"/>
                <c:pt idx="0">
                  <c:v>Diary</c:v>
                </c:pt>
                <c:pt idx="1">
                  <c:v>Office Chair</c:v>
                </c:pt>
                <c:pt idx="2">
                  <c:v>Printer</c:v>
                </c:pt>
                <c:pt idx="3">
                  <c:v>Projector</c:v>
                </c:pt>
                <c:pt idx="4">
                  <c:v>White Board</c:v>
                </c:pt>
              </c:strCache>
            </c:strRef>
          </c:cat>
          <c:val>
            <c:numRef>
              <c:f>Sheet1!$B$11:$B$16</c:f>
              <c:numCache>
                <c:formatCode>General</c:formatCode>
                <c:ptCount val="5"/>
                <c:pt idx="0">
                  <c:v>3071</c:v>
                </c:pt>
                <c:pt idx="1">
                  <c:v>2648</c:v>
                </c:pt>
                <c:pt idx="2">
                  <c:v>3823</c:v>
                </c:pt>
                <c:pt idx="3">
                  <c:v>3067</c:v>
                </c:pt>
                <c:pt idx="4">
                  <c:v>4027</c:v>
                </c:pt>
              </c:numCache>
            </c:numRef>
          </c:val>
          <c:extLst>
            <c:ext xmlns:c16="http://schemas.microsoft.com/office/drawing/2014/chart" uri="{C3380CC4-5D6E-409C-BE32-E72D297353CC}">
              <c16:uniqueId val="{00000000-3163-4BE5-8FBA-8BF1C482CF59}"/>
            </c:ext>
          </c:extLst>
        </c:ser>
        <c:dLbls>
          <c:showLegendKey val="0"/>
          <c:showVal val="1"/>
          <c:showCatName val="0"/>
          <c:showSerName val="0"/>
          <c:showPercent val="0"/>
          <c:showBubbleSize val="0"/>
        </c:dLbls>
        <c:gapWidth val="84"/>
        <c:gapDepth val="53"/>
        <c:shape val="box"/>
        <c:axId val="1660697199"/>
        <c:axId val="1660713999"/>
        <c:axId val="0"/>
      </c:bar3DChart>
      <c:catAx>
        <c:axId val="1660697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713999"/>
        <c:crosses val="autoZero"/>
        <c:auto val="1"/>
        <c:lblAlgn val="ctr"/>
        <c:lblOffset val="100"/>
        <c:noMultiLvlLbl val="0"/>
      </c:catAx>
      <c:valAx>
        <c:axId val="1660713999"/>
        <c:scaling>
          <c:orientation val="minMax"/>
        </c:scaling>
        <c:delete val="1"/>
        <c:axPos val="l"/>
        <c:numFmt formatCode="General" sourceLinked="1"/>
        <c:majorTickMark val="out"/>
        <c:minorTickMark val="none"/>
        <c:tickLblPos val="nextTo"/>
        <c:crossAx val="166069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2018 Dashboard.xlsx]Sheet1!PivotTable7</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200"/>
              <a:t>Sales</a:t>
            </a:r>
            <a:r>
              <a:rPr lang="en-US" sz="1200" baseline="0"/>
              <a:t> by REPRESENTATIVE</a:t>
            </a:r>
            <a:endParaRPr lang="en-US" sz="1200"/>
          </a:p>
        </c:rich>
      </c:tx>
      <c:layout>
        <c:manualLayout>
          <c:xMode val="edge"/>
          <c:yMode val="edge"/>
          <c:x val="0.21247863247863247"/>
          <c:y val="3.960396039603960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Sheet1!$B$22</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Sheet1!$A$23:$A$28</c:f>
              <c:strCache>
                <c:ptCount val="5"/>
                <c:pt idx="0">
                  <c:v>Bob</c:v>
                </c:pt>
                <c:pt idx="1">
                  <c:v>John</c:v>
                </c:pt>
                <c:pt idx="2">
                  <c:v>Laura</c:v>
                </c:pt>
                <c:pt idx="3">
                  <c:v>Mark</c:v>
                </c:pt>
                <c:pt idx="4">
                  <c:v>Stacey</c:v>
                </c:pt>
              </c:strCache>
            </c:strRef>
          </c:cat>
          <c:val>
            <c:numRef>
              <c:f>Sheet1!$B$23:$B$28</c:f>
              <c:numCache>
                <c:formatCode>General</c:formatCode>
                <c:ptCount val="5"/>
                <c:pt idx="0">
                  <c:v>306530</c:v>
                </c:pt>
                <c:pt idx="1">
                  <c:v>320220</c:v>
                </c:pt>
                <c:pt idx="2">
                  <c:v>307656</c:v>
                </c:pt>
                <c:pt idx="3">
                  <c:v>321258</c:v>
                </c:pt>
                <c:pt idx="4">
                  <c:v>329482</c:v>
                </c:pt>
              </c:numCache>
            </c:numRef>
          </c:val>
          <c:extLst>
            <c:ext xmlns:c16="http://schemas.microsoft.com/office/drawing/2014/chart" uri="{C3380CC4-5D6E-409C-BE32-E72D297353CC}">
              <c16:uniqueId val="{00000000-0374-491F-9708-919578A72072}"/>
            </c:ext>
          </c:extLst>
        </c:ser>
        <c:dLbls>
          <c:showLegendKey val="0"/>
          <c:showVal val="1"/>
          <c:showCatName val="0"/>
          <c:showSerName val="0"/>
          <c:showPercent val="0"/>
          <c:showBubbleSize val="0"/>
        </c:dLbls>
        <c:gapWidth val="84"/>
        <c:gapDepth val="53"/>
        <c:shape val="box"/>
        <c:axId val="1660701039"/>
        <c:axId val="1660717839"/>
        <c:axId val="0"/>
      </c:bar3DChart>
      <c:catAx>
        <c:axId val="166070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717839"/>
        <c:crosses val="autoZero"/>
        <c:auto val="1"/>
        <c:lblAlgn val="ctr"/>
        <c:lblOffset val="100"/>
        <c:noMultiLvlLbl val="0"/>
      </c:catAx>
      <c:valAx>
        <c:axId val="1660717839"/>
        <c:scaling>
          <c:orientation val="minMax"/>
        </c:scaling>
        <c:delete val="1"/>
        <c:axPos val="b"/>
        <c:numFmt formatCode="General" sourceLinked="1"/>
        <c:majorTickMark val="out"/>
        <c:minorTickMark val="none"/>
        <c:tickLblPos val="nextTo"/>
        <c:crossAx val="166070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2018 Dashboard.xlsx]Sheet1!PivotTable8</c:name>
    <c:fmtId val="1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200"/>
              <a:t>Comission</a:t>
            </a:r>
            <a:r>
              <a:rPr lang="en-US" sz="1200" baseline="0"/>
              <a:t> Earned by Representative</a:t>
            </a:r>
            <a:endParaRPr lang="en-US" sz="1200"/>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Sheet1!$B$34</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Sheet1!$A$35:$A$40</c:f>
              <c:strCache>
                <c:ptCount val="5"/>
                <c:pt idx="0">
                  <c:v>Bob</c:v>
                </c:pt>
                <c:pt idx="1">
                  <c:v>John</c:v>
                </c:pt>
                <c:pt idx="2">
                  <c:v>Laura</c:v>
                </c:pt>
                <c:pt idx="3">
                  <c:v>Mark</c:v>
                </c:pt>
                <c:pt idx="4">
                  <c:v>Stacey</c:v>
                </c:pt>
              </c:strCache>
            </c:strRef>
          </c:cat>
          <c:val>
            <c:numRef>
              <c:f>Sheet1!$B$35:$B$40</c:f>
              <c:numCache>
                <c:formatCode>General</c:formatCode>
                <c:ptCount val="5"/>
                <c:pt idx="0">
                  <c:v>23576.700000000012</c:v>
                </c:pt>
                <c:pt idx="1">
                  <c:v>17874.340000000018</c:v>
                </c:pt>
                <c:pt idx="2">
                  <c:v>17621.360000000004</c:v>
                </c:pt>
                <c:pt idx="3">
                  <c:v>21012.360000000004</c:v>
                </c:pt>
                <c:pt idx="4">
                  <c:v>20075.480000000003</c:v>
                </c:pt>
              </c:numCache>
            </c:numRef>
          </c:val>
          <c:extLst>
            <c:ext xmlns:c16="http://schemas.microsoft.com/office/drawing/2014/chart" uri="{C3380CC4-5D6E-409C-BE32-E72D297353CC}">
              <c16:uniqueId val="{00000000-EDE0-4E64-AC32-D404809AEB2B}"/>
            </c:ext>
          </c:extLst>
        </c:ser>
        <c:dLbls>
          <c:showLegendKey val="0"/>
          <c:showVal val="1"/>
          <c:showCatName val="0"/>
          <c:showSerName val="0"/>
          <c:showPercent val="0"/>
          <c:showBubbleSize val="0"/>
        </c:dLbls>
        <c:gapWidth val="84"/>
        <c:gapDepth val="53"/>
        <c:shape val="box"/>
        <c:axId val="1660724079"/>
        <c:axId val="1660721199"/>
        <c:axId val="0"/>
      </c:bar3DChart>
      <c:catAx>
        <c:axId val="1660724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0721199"/>
        <c:crosses val="autoZero"/>
        <c:auto val="1"/>
        <c:lblAlgn val="ctr"/>
        <c:lblOffset val="100"/>
        <c:noMultiLvlLbl val="0"/>
      </c:catAx>
      <c:valAx>
        <c:axId val="1660721199"/>
        <c:scaling>
          <c:orientation val="minMax"/>
        </c:scaling>
        <c:delete val="1"/>
        <c:axPos val="l"/>
        <c:numFmt formatCode="General" sourceLinked="1"/>
        <c:majorTickMark val="out"/>
        <c:minorTickMark val="none"/>
        <c:tickLblPos val="nextTo"/>
        <c:crossAx val="166072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2018 Dashboard.xlsx]Sheet1!PivotTable12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b="0"/>
              <a:t>ORDER</a:t>
            </a:r>
            <a:r>
              <a:rPr lang="en-US" sz="1200" b="0" baseline="0"/>
              <a:t> BY DATA</a:t>
            </a:r>
            <a:endParaRPr lang="en-US" sz="1200" b="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Sheet1!$B$64</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Sheet1!$A$65:$A$96</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Sheet1!$B$65:$B$96</c:f>
              <c:numCache>
                <c:formatCode>General</c:formatCode>
                <c:ptCount val="31"/>
                <c:pt idx="0">
                  <c:v>39</c:v>
                </c:pt>
                <c:pt idx="1">
                  <c:v>33</c:v>
                </c:pt>
                <c:pt idx="2">
                  <c:v>36</c:v>
                </c:pt>
                <c:pt idx="3">
                  <c:v>35</c:v>
                </c:pt>
                <c:pt idx="4">
                  <c:v>42</c:v>
                </c:pt>
                <c:pt idx="5">
                  <c:v>47</c:v>
                </c:pt>
                <c:pt idx="6">
                  <c:v>53</c:v>
                </c:pt>
                <c:pt idx="7">
                  <c:v>50</c:v>
                </c:pt>
                <c:pt idx="8">
                  <c:v>38</c:v>
                </c:pt>
                <c:pt idx="9">
                  <c:v>50</c:v>
                </c:pt>
                <c:pt idx="10">
                  <c:v>43</c:v>
                </c:pt>
                <c:pt idx="11">
                  <c:v>30</c:v>
                </c:pt>
                <c:pt idx="12">
                  <c:v>48</c:v>
                </c:pt>
                <c:pt idx="13">
                  <c:v>46</c:v>
                </c:pt>
                <c:pt idx="14">
                  <c:v>45</c:v>
                </c:pt>
                <c:pt idx="15">
                  <c:v>48</c:v>
                </c:pt>
                <c:pt idx="16">
                  <c:v>48</c:v>
                </c:pt>
                <c:pt idx="17">
                  <c:v>41</c:v>
                </c:pt>
                <c:pt idx="18">
                  <c:v>44</c:v>
                </c:pt>
                <c:pt idx="19">
                  <c:v>34</c:v>
                </c:pt>
                <c:pt idx="20">
                  <c:v>47</c:v>
                </c:pt>
                <c:pt idx="21">
                  <c:v>38</c:v>
                </c:pt>
                <c:pt idx="22">
                  <c:v>39</c:v>
                </c:pt>
                <c:pt idx="23">
                  <c:v>46</c:v>
                </c:pt>
                <c:pt idx="24">
                  <c:v>49</c:v>
                </c:pt>
                <c:pt idx="25">
                  <c:v>47</c:v>
                </c:pt>
                <c:pt idx="26">
                  <c:v>52</c:v>
                </c:pt>
                <c:pt idx="27">
                  <c:v>37</c:v>
                </c:pt>
                <c:pt idx="28">
                  <c:v>42</c:v>
                </c:pt>
                <c:pt idx="29">
                  <c:v>28</c:v>
                </c:pt>
                <c:pt idx="30">
                  <c:v>25</c:v>
                </c:pt>
              </c:numCache>
            </c:numRef>
          </c:val>
          <c:smooth val="0"/>
          <c:extLst>
            <c:ext xmlns:c16="http://schemas.microsoft.com/office/drawing/2014/chart" uri="{C3380CC4-5D6E-409C-BE32-E72D297353CC}">
              <c16:uniqueId val="{00000000-A6F4-4E42-8D42-F6FAFED1B763}"/>
            </c:ext>
          </c:extLst>
        </c:ser>
        <c:dLbls>
          <c:showLegendKey val="0"/>
          <c:showVal val="0"/>
          <c:showCatName val="0"/>
          <c:showSerName val="0"/>
          <c:showPercent val="0"/>
          <c:showBubbleSize val="0"/>
        </c:dLbls>
        <c:marker val="1"/>
        <c:smooth val="0"/>
        <c:axId val="1660671759"/>
        <c:axId val="1660681839"/>
      </c:lineChart>
      <c:catAx>
        <c:axId val="16606717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681839"/>
        <c:crosses val="autoZero"/>
        <c:auto val="1"/>
        <c:lblAlgn val="ctr"/>
        <c:lblOffset val="100"/>
        <c:noMultiLvlLbl val="0"/>
      </c:catAx>
      <c:valAx>
        <c:axId val="1660681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67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E1022157-CAEE-4B28-A83C-A1CE4CC15D53}">
          <cx:dataId val="0"/>
          <cx:layoutPr>
            <cx:geography cultureLanguage="en-US" cultureRegion="IN" attribution="Powered by Bing">
              <cx:geoCache provider="{E9337A44-BEBE-4D9F-B70C-5C5E7DAFC167}">
                <cx:binary>1H1pc+Q20uZfcfTnpUzc4MT4jVhWUZTUh/uy2+0vDLlbTYInCBC8fv1m9eGVMFLLg/BGrP1lYrpU
yWQmnsxE4kHWvz+s//rQ3lybH9au7e2/Pqw/PammSf/rxx/th+qmu7ZnnfpgBjt8ms4+DN2Pw6dP
6sPNjx/N9aL68kccI/rjh+raTDfrk//5N0grb4Znw4frSQ39K3djttc31rWT/c5n9370w/XHTvVH
ZSejPkzopyepgqc8+eGmn9S0vd30zU9P7vzJkx9+9AX9x0N/aEGvyX2E72J2xkUiGWIk/vwfevJD
O/Tl148lfBwnnNMEf3vmi+sOvveoGp+VuP740dxYCy/x+X///NodjeFfXz/54cPg+ulkphIs9tOT
y/6jun7yg7LD4csHh+Gk7uWLz+/3410D/8+/vX+AN/b+5ZYPfPM89tF/uOB401bqmzn+BhfIM04J
SWLO73OBEGcIMSrAR8nn//i3R3/xxKPa3O+Jr1/zPHF89o/yRD7AGvm7oIDYGeEEkwTLL4ZO7kBB
0LOYYZ5wjL98zL49+osfHtHlfi98/pLng/x//7N84Oprcz19M8bfgAd8xhPMOcKeA9AZS0RMJDjh
y3/fnvnVAY8r8oATvn3Rd8TVP8oRV5AYmuq6//jNLH+DK8gZZydHSPLF4vIOJCA7ME4RwfwrYui3
R3/xyF/S6H6f3Pqq55Wri3+UV55em/56um7+zkBFzwSKKaYU35sw+BmCnA4Z/avTyF2v/CWN7vfK
ra96Xnn6zwpaF9dmu+7/Rp/g5AwlEiUUssKt+knwM0JjTGMqv7jKS95/QY/7PfHnFz0/XPyzSqmn
N+a6/RvdgOIzShMphIBQdNcPNIbEQdHXGssrZx/X4343fPue54Wn/6wy6vk1pI5rW03m73RFckYZ
jiVhyUNRKpYJwfRrMvfKqb+o0/1uufNlzzfP/1n54/lNWQFEtr/RM7DnY4RB3hZfE8TdOitBZ1gI
LkV8f531lzR6wC//92V8r/yzEPPLNEGv4KW5/nhjq2/p9W+ot/hZgglUXOgLZGJ0J4rJGOotThj+
Vo55mf0va3W/d7yvex765eU/qu56d2OnH9Kbvrxu/0b/kDMJwGGxEHcdI84SAdsS+g1QXjD7i8rc
75Y7X/ac8i79/9op9zd1bm/Y7/zFf9u7wmeABRZj+bUOhqR+O+cnp/08hx0j+4Im8NmXR3/ZnXxt
MT2szf3u+Pq1O4r/P+5XPdzL+rO1d4Q9Rva5J3irnfX9Tz+/HrQpva/e6afcectv5rv8+NMThCD2
/NlpPIl42LZ//v3NtZ1+epKIM4qQIIwRymGjwiH9LIDWn55wCUU0tLlkDDUDOJVA+OsHM1U/PSHi
DEDHWcIhKxGoKaC+s4M7fcTPBI8BeVJgAfVdAq3Kb6/2cmi3cuj/tMPX//9D77qXg+on+9MTkKO/
/NVJzQgjKqhgLAEE6w/Xr6G5C3+E/pct1mJoVMIvKnRM2M92hubAn+//X8g9Pe+W3ASrmdt2FdnE
qrZK933b3lWYr18anV/6nP+FePDKbfG1iJptWXuRVWY05vXC97h8W6778On76sM+5V6zAMRuy0+6
vZGuKXiWYGb3Vxp1SZxWpGYojWnc4ZSScSrOv/+wh3wA7r/9MAu+r5ey59lqiSSpjElp0mHj8vfv
ywfg3/sy8V35IhljXScbzxzS9DlCC+3eLHEd82ebnPo1j8TOTdpto379/Qc+8EISVvrtF9Iy1rM4
PXBuE7FeDZUr3IFaV6ns+w84Cbpn1Uroz9x+gFT7Ek+OsGxprFiu+EYKfNCNxdUz1lQ1fo5c45rD
aMd+E2ncUjSex301GyiSv7e60cl09ylwMvWt5a1FZxtmN5a5spzHg8QyFwR90g0ZlyYdy2XuUreJ
6NmwlKjJHB4G2adRKXEHFeH3VHjIxqeVe0uDtty6uWULmEBidiBm+CTYoh55v4eEe1FhAKQucptY
tm1W/BYP25AWs6t/DlP99NTbqstacUsMyxqi1E0Mp0/P+kg17hAm3osNQ7QwPVaMZe0k5l/RMtJ0
LXYRFnmkFxlMu9Ra45Fl0xDtexav0WyOXA+DCFTfiwZ4LZHc2hqiwUBdfdg4X2k6jgCl4/ft80Bs
4x54umReWO1KkXetHYvXoutG9ysZ9yS+mqIqEa8gtxB++f2HPbSSvNiD6y3qB6ujvB82wV9aBdvx
X7tpij4FyRdeqLEydvGyMpnvA+qyraSRSVfVWPOIN04r/h6gC89YydDQ1uGtyIdI7t35YpCes3bZ
kDqOqqJJ4GO8eELoUMhFRyKfJoeni54PfZztPWrXTKtpWcNwLbygMQ7zWJC1k7nGzf62MVv1cy94
8vb7vnjIVl7UWJpVogVqnBxHq8paawR5VtJtGN81TDbrI6Z6YEWdOl63o0clS91IoWVuWrpdRt0e
/5yUyLTp91/iIfHkrvihUFsMxuG5EyNe07he6Xu+DzoLE++FDzeLQUg4Es3nFjwwtWWXURcJHai9
FzycIv3WbrXMqZ0b8MEm1yi18ab2wAd4eG6SiI3JCtZPUDf2lxqxfslMLfblZZCBTlXybfcKvBGL
opXnia3Ur0Ja+3JV5biF6c89oInNwIl0zESuCZ3UxbSTNUmrplviMIhxD2Kr2kY+YSPyxpaaXtoO
zzKtHTWP5eZT5LknInEPZVtZl3G3gIvHYtPmWJdEiJddtM/8qpyKrsnWEm/9b20nye+uL5f+kUj+
UM3DPeC1a1mIYV8gFLay1VdVZAsBlX2TQFknp6WmU9pP9T4fVMV1d96seymOnC5keDPHE3eBBvYA
uhU8ErKJirwTkTsStYhcipY8sj7QCSn3mRffXX9snlY14jHJSbybIdtRMU8ZK/a9vdAJEdvPpe2G
TzqiS3dBd9mzFyshuH+OhZT1b7LBjD2iygORiHtYln3N9LAommtRWHLge3Kj13UZw+Io95DcGsLR
ttYiN5Fe8nJCtE1LIsuPQThmHo4dMlzWdUnzUq/yPYPs9sLGURcWRtkJHLdKyJGUfR1FIslZCzuZ
g0Oy21OnzGYfWWUPoIx5ccKqcWN4NTKftqXAl5IaE/+xagSIq3AVD2mvnO5SvHNdftDdbnGYW5gX
P8jSt7CIDM+5LDqX6hHbLt0cjQIjOPPix073ZnTciMyNDGV8m8vjzofoGOZ2L0jwIon7elz33Lpy
yvde1Ck3un4kBj0ACeZhn6O4ilYoVfMaq+6AJ1Qfi23AgYvKgz7segaJ1LDnGPaNaVyhd31JHysk
H1LdQzPiuqdrW+55Kbbpudv6GNLzWKE6cN14cK5qN2litj2Pii65xPPaHAsiaR7kVuqhmeiZ6akB
6VOB6WEhwqa2QypMd+qhWfZ4l7MAt0YTrg4NcXPKG0HD4ij1oFzHkYmXwu75iFR7bpO+PMyM7uff
t8wJNvfkC+rhtS9Yte8oWvIlYjew7Wzmczo1us+nRfDAN/AgS2Yx93VTLDkB4L5OpqHOEB2asO04
9SA79VAKLTtf8oEyfikT5o711geGG+pBFk1dW8i9dnlpW/pUtZ14rtc2UHUPsZCoi6ZBZMrHoS7Q
wTBsD6Jam+r4fec+AFrqgZYVpW2iHdo8ulfrVTOV0zNXFG0gqDzIQn80mpGrp3PjysW+IUss25+Z
kbwKWzfEQ22D1DyWM16hJHT7odHs/ZZs/SML/wHbEA+0rI4aKmUxZ2NboZRYh9MxSVyg6h5oia4p
Lmo5g+Wj9wZDfdcnaxHmVuJhttG7iSLLv6pO8YhTNvNQ1X20Mlk4WaE5SxZoGuOTdBtumJM7blU+
TTzrorUgfa2T6uBk41LOcR1odg+tFWVyiHEM0im+GRVtz0tVBna2iIfWBjjoUpUgPNldl7ciMbDz
4mtYbXA6RLltmHUiomi3Zs7YVCzpimacIl1MYSmKeFjtKo37gcQu6+e9T5dK3bh6R2FWPxFAb6tu
dzPpoVpc1jUVTTll76PZ4kDhHk7jghmyVdGUiTHuj3ZV19btNlC4B9PRJmsNlbDLap5UKa9VmzqD
RaB0D6eC1FGpogRUTxx6buF45GUhyjbsiAp7OF0dxT0FyfmO4AZEuveSs2M0RdKGrRnsQRWPa9I5
Xc75RrvepBHRLNcLnj4EJSfsYRWpApth7SCzFra9SmqLjraptyxMOr67Jp0pNCk35vIpIb+jGr+y
lLwKE+0j1W51t23RlKsqegHh8f2GRWD7Dns4TZTqBOrFlNdLJY+uYm+HphjCHIo8nPaNjUwincsj
NalDW4tnAo9x2GJHHk7hWHjRdpVR1rfrR7Whd5h1T4MMjjyUSrWUEeTrLQexdkp3bCuebpaUYaEX
eTidS+aqhpopB85b/BudIA6kVu0orNJAHlDd2OK4LQaXd4PZj8Mq/qiULgLN7oG0kGoUszIuZ5vZ
Dl2nQfXmsZPXk5B7Ngcn8sDtwJ70nCoddVMOp/3Jc2lL9LyNCv0uzK0eRPGEJwP3p2A5VkWVkm75
TUgV6FIPozsdkrqoGpcbNpMUyfV9O8qXYXp7GKULXRdFQHZU27fUbc8Ztc+DRMceQoelKMqJlFMW
F1F0iOrimdrjwP5A7CEUIa3FHuEog7tjP3ebeC/N1oaFltiDaFRBnW4GsElb9a+Gcjgvuiosksce
OqleNrJCTz0b9vnCLPgpZWEZNPaAqTc28UHD3o535TM5rHlvirBj1tiDpWqntXIOlNbdL/vsDrX4
NWyFeJBsk9rovQEn0qr5w6zJK7nzsDgVe3h049ys28KnfLM1ertvE85rR+wxTHEPkaQv1r5WyZTb
CKgEuG8ukiL5LUy2h8imVZbB3YsoYwqq2yjm1zQhYYkNeM93gyAs7HFsY0jJleJryiyNjkki5iDg
AAn+rnRpZzFRNkfZyN+Y4Sihix1iE5p4iKzKaqRjtU25k0DmWIjVKRr52zDhHiYXOH/ftr6wGar0
xdLC2f5I6ilopVCf02Wci5uoBeGyZS+J0x8U3UygVTxcwkWQLR5lYjPTkZcMZK9uDpXtQRMtShCy
ImgbYxI/c7Ksr0a68kCreOisLJ1bqGdhobCdp3tc/9LyKqjAoomHzTVxdGkSQP5Ktqk+xLTgwxFD
BaSCQgtNPIDqpaMFnNVMeUn1dbTM7+Dw4ZegpeiTtWZCYsMJ2MW5kh1H16gU7iKKoDoCGkJ34Wmq
WUA/egXF1/WlG+KrdR4DESo9hNadiKmoiM1lQ563QDjM4IYMDrO49BDqSgOcSzdPeazbVzRqD7Wp
gooUKr20aVjUbyXpbI4xw4elQ+aAaP0pzJ0eQDc4UbCymywQDPj70q5XSrA3YaI9fK5mKhqJI5Nv
qF3SdhDjed/VYcwI6hOrBrb0yQz0nRyOkPZjvw8vBLFhx/5UegB1GtumQovJB6C/tKl1JnoazfH2
OswyHjyXiEBUpA48Om8fLVRwq5V/BIn2CU4TJJ5K88HmDS9fr1pfxl0Xtg59btNcyIbXLTX5Po9V
Ni8lPkZt/yFMbw+caqeFNWtj86TSh4ZuLzr5WNl5wsl/7qqoz2JaIugHz1qYvOpm5lIjeP185HpN
lxq77RCmvwdS1vRr3wzM5K0iv7cVfRfp5m2YaA+iKzAeWy4KA/if7cVsDUrRTMOO6qjwUFriiilD
MChO0btujvqURvrXMM39HLqOujFxZXOGFV2ynbiNpr1sqyYsSQsPp7QqS+lkC0tyjV6pDr9VY9he
nAoPo61iI2yYQXSxJa+mWP1cEB50DEV9zlIrt6Ib583kpOhwHkk8vULlooKYvtTna2Ixx2xWsBKL
eN/SzYw5oYGEMerzobq1iKbVVibvZx2n8SzOx6UM6w7DrYe7yX8y1DmagMkhPD6dN/y0ZWsYhnwW
VLKUravH0uSiKPtU7NvTxKiwczPqM50SWCXxihuTo2F+SdD4zMRToN4eOo2C0wm+RGNuuXynkHnV
NmPQJo5yD5zFSrum1LXJOVgmTYCEno5bJ8Pioc9Gmkg9RvWQjHBuU40Hg5tXLkrCSlCfihTHsM/q
WTzmpSJdnS7QqMhcHPEww/hUpLpOgJVWb4CbZOsO0nH+ulXxHuZRn4o014wXwLUb8z0x+IAsfQGZ
NOz0nPo0JBf1cmDrAMtlSGjcQKzdGlulMpmboB4OnPDfxSjQc+OkXHuwfVkt4tBD8ywvCjqGnSNQ
n260Nc5J0xU6l5FtxsO86O6TS8QSuGlk9K7+qMMxXZJI56ba7LEreZ2Chdh5UMLzCUdCrKuM51jn
ruX4EHPglRPY/aZh0j3ETi0w8CzpdW6pKKcU7bi5bra1LwPle9l0VYabZQXbDFU9pGrqfllbFJbz
mJ9O8bB0kXBg917qi83G9nxph+oiyDI+32gmM9l0u+i8Ltj+Lh6K8gJGRekmzDA+4YhAnGR4A7cm
fTHac+EkoSkrBj4GPsCrfuEwrhl6PYPliV0ujZG/VGMb1punPuVINB0GjrHRuaDTG1XaV0szvQmz
u1f1lsW2kLYtx1z0ye/9sKC0ovQxbu0JkvfU7T7RaISWuYxcp3Niavm7gEOFC9d0c+CS8TLrFEfr
thM25IDUJOVAfUmjLRJZmGE8qJotgjP6FqSzeXMpQ/qq6R9jMX0uQe8zjIfTUa1Ar5N4yGfelEUK
p8U1BBuh1uZQdknZXHR6W964zraXxJKI51NVjewtXHET40vo/1nzJhEdv2jgXHK4qJue8lS0Cprx
5TrKeEl3Wo/ml2XEkTvE29g310NVReOBQ2GJj4hBrz0T2q3u2CLokh04nFKvl26MZJ1jsVb0shjq
ZTugGLoJv0XA7N3OEamtOBKxgsylVdN+Xo5JZeG2Hd7deYfxuh/t3JH+91VQWrycKI/qPyxi45jL
HSdzblZ436OedpbV8czkoRcYNQe+idJdlGgok2dc9nAvLB53/AbGly3pjLm51MqaPY+HRG7nS9fO
9DgbWrJsFguFFnZbzfRQtroboJ5Nku0gjSIi7QZl0NOlL+rksiVoovkO1l4OjDTz5b5H3QvTzzE9
0nie97QuTLG/aVE9iLAqhHoBs1up440jQ85ZNUDXJ0pxSZKweOMzvQgtNigkW51XvLspaPOmECpM
b5/nNcNJzNpi0Ju5IrdJe1UwFNYcJF6UZDMwUxB0kHIYPbemRZQ0adKiIdAmXmVj4pLwBg7t8hLX
dbo24ydem7Cij3hxsobrrXMv4iF3m9Mv4IKWuhjI1IWFMuLVNBVXsesxt3lpGvqMQv0KzH83vQ8K
ZcQLlKYr53nW85A3snS/Gjnu0Mzv5RRodi9Sjr2a4JpIMuQJNJVThutn1V6GXf6iPskrBggzKvWQ
b4MuuuMQL3W+jrEK3OX4NC/UK7RHBFYkLzu2Ztj2bk9FxJrxGGR8n+o1deNSRNU05HBQ9WnR9IpF
NuxGB8Xybims3WLmcRNDXsUJ8MgmK9b2QJIafwrT3YPrzMadzA7rvB2TXaZiGAmcsUuMw7gYFHuI
XXTfongtoUCAubOpE0udKaUCCwSf76XFUtR7CSkczmjMARhl/KCjJc7DjONhdonhqjRT/QAXXdv2
ipOZTSkfDQ/j91Of7WXrvgQi0wBhuHfiqupJ/DvsabewVjD2QCvWbtw7C/UqtLLWy4IWLhfxJAIX
vVffYNK6RJ2yU6268mCXsUzd1HVhAcenfCGDVrfCPjmPtp7cVMA2v9k714UxP6lP+mKY9HVVNzpn
XMzRZZP06BAXy8IeOTt84F4d9YlfcN20KHgr+3xvETFvdaPm4VCIHuvjYofoLVw4exFFSVsfoYpr
kkOZwGb0vIoYG8K87/PD4J4uj10N9eeyjZU8RF0NAyi6qtdt2DbaJ4jxmOywZzlFpmJCxdNOlXDv
bBu3KQ7rTvkUsT12Bm684j4nBKkmXZd6oWnd0DmwwEIevLndO9NjeMDmMNCWd/cO2PsfgkKHzxJr
p26bErf3uTa9Pawl+bRPLFRxD9nluCNrG9HlUNuet7i5wtiGtQA+X6G8RUXvoiguF5ggkk90tocm
onDUsOyvw4zilctT1ZoSLXOfF87IzFW4TDumAlOlzxNbBEzj7sGjuTJr9EdXL+SDiSDdBOnuE8Vs
TfuB9qjLodZ6Ieb9aTuWj8xyOa23e7aKPk+sXOGckZuhz+2KqyvUGpnCZPElLIn5VLGl4UrODely
0sihTGspx6tKuL4Kg6lPGKPJOhDex10uWF8fxkReNBRtYXnAp4wZ3Zdlkag+T2i1PLOmowcx1fOr
7/v0VNnfZ3ivak6WZpsXBPm93ekIJX9syyRrYzQMGYddXR9UYxGfuwPTP4pCT6bNdyP+gI36805U
777/BvcvHXIaJXWbjErnGI4G4ToW3BAcijodrZtvFjKGjR4giWcgBbVyXxV9mydaFtDdsfKy48wF
QQqGld9VfsC1W3cDyhdlBXt8hHUKIyXCwgHx+TsJ38XGLDQ70DKh7dgrOPw91H1fz2E7XZ8aKDde
SE7KIY8dmXQKfqhPETNOhmOIc+lpguJt53aRsuOcKAg5DL9xU/y6REWQ6WnsRWKYGTLJ2IDu0DRl
R2XghGZ3qA9CLQwSvKt4DzEmaoDsmSFhitfzFuk3fcXCLqnBsLS70lvVIxdj255Sq3ylO8LySTEZ
ZHTiUwQ1NI3iojst+QqaTcMoX0W0VIGG8TZDbpv6zW2qBeIHTOY6wJ3S8f3eJsMcKN9zq5yXQkNl
2+ao4ttRlnH8coD7fK9D1iOcidw1/MYVdLiWMTqWqFyHqzpG8QuMNXOPAOpzp+U/4zHxiWXw0xJ4
5dxBNOOOdT+PCPXuQjXzaM5hI+bwOczS4/Y4snYdnkUb7AqeaVGP3XuMCD13HO+XgkYbS5O9cDBd
YYua5ueuZys+dOO4qcNeVsX+x1Bsyp33GnLuwbF6/UA6Sp/Oup6uNlXN56RwC4iAGRhVGneK7m8r
BPdbXjWnORVveyW1PcKGje7wqVkOVQzMzxe1rqL9CH9t1XOCi2EOKiSJT4gDXuOITxeSs7JA9Ys5
aZJnWOEyLMESnxI3RA0boDva5HiNbzgeXyWofBm2XE5Z91YpCXvNrYv40uRkB55ti+klHuxjgzRO
iLlvqXiJz7moK3e7NvmoYVbHpbF7uxyTDVgPxwV2COUl/PpFW70PexMvDaIxgd8OmFmTRzriGW2W
9nzXbflLmHR8107VVjjYI5ImnwdaHaNifzfV+DE7nYx9n528HILiUrnGuCbnrVNvgFVNf5ZVuV6v
NYoe6Ww+9Agv6MRFIkqsxyazK2n4sZpGM6p0NtBsv1QL3Gh7ZFP9gMt91hzQE0o387bM4Bd/mubc
sRUBOyxqM9XtEh+A0R3WVSI+ia6soHdSmBaM1uMIiG78HQSiwJrqNH73NiwiGDgCjYC+yREcx01k
OZ8IeiRAP+AJn0QnCHA5d7iDe2zKUUyXSWvZ+SATOPfn5dzGQewCIk5Pv4VrBrK5UiKCMR0wSBDu
upe/JaMIu9pK/FFgdktGpTZT50Kw6Rw41zItKhS2WYGp4Xd1nxW0IolDVa6opOd63rqjTFTQPo4I
D8gx16htRVsc0ayu4oKkdOCBNvdgvJG4tcMEovedZkUynncKB+0Pic+h22AQmrJJUxwbhZ8KFj0d
eVgXj/gcOqAVngbhquKo62W8qq2d8oiRN0Fh06fQFUxU80YiWOyotJnWhqZb0tLzMOkeSuOkMQWL
I5ULZfVTYL2+G8stbDgs8Tl0JRdlNGOn8nbD7blLpv4iHtswKirxaXTRtsJ5SmdUrup6POpKPouE
sVmYXby8u9bx6CwZkuPUUbWeY7z8ok3ThDUVYeb1XXxWQzKNLe2TYz+PL5p2yGszhCVxn0q3Veta
diUUUu3kVNq7Pj7sLXsk8p5e/5406zPpZmDn73DDD0Bk5yEF1thBc5goHGZzL8HuMKTHzpNWcGup
2w59qYcxLUyfhBHSYCD1XaMn3QZ3LhqWwEWrYcepbAvzdFgbFXYPkvhsOsf7ohcjSY7dssOZ7Stg
ATximc+t2nvs7nPpKN8RDKcqqxxtEZmfxqpjcMGohFmeb2FS0pArluwkFePcsYxDd205jFPDZpiQ
qfl2ProkHrNdoxJfd4LhOS8kUSKoA09OP6dzO0+2yUR2IpnNlFjNOSsmmCkcNWHnasQn3pAFk71t
JpuRpauAZTG9hSuV6yN2fWA5+wTCNRoRjAyZTjs9M5WXisTSZZVtbH8MWtI+g7BXauISVeK4mopD
bN1q1x8q+DUJ8iHsAV6cMlPj9rnQLnNDpbNO0uWoExrUJCc+gxCqTUY06VyGTiPLFjbCJXMqgqjh
8KsAd5eNFjO1xQTCZwdjp1tLx3RocRg9kTCvkKCVg4v8rncZrpE+kAbVKfT3/ggzuheohkbCT0eR
YspmXHWpjCK4e7bSOCwl+/zBEmiyMY3IlA1ACkqHxpQvWkGmX4N09+mDdNGaID5OWZTAgQ1t9jJT
GwszjD+uTJkFDXCGPGUwXhO/7Lu1+YPHuwir4Hzu4M6qZZzcbLO+5+0Bhm7DMBtahA1sIf6wL7eM
MDJLbDbbBNrTJm7MQTSBtQr1FjtrHI/ICKrvHYxrWabtU2yqsLuExJ/0Fe26G4uWuKyE2zPHZKmq
AwS1sMN7+Gm0uzjd4RpEoWYorITGf9iOvOkqHHa9Gn787q7sqoPe46Cpy1Rs4nTVuMiKAmh031/q
D2wTffZXi5oRNwOR57xo2fyycp3qzjeOW3NOjYYs+P3HPJBEfCZYMZOCohpeAn4EKDrOmJWHfnVh
TDDiz/vSVSGmiYP0suzVUQIN7JAM28cw1b3U3dSAKeAzmkyvejuobqyPtivCsofPBEs0jaeOMZPN
jZvPu0riFAYY72Hpw2eCbR1sN3azmGyq9vYc2eaXHdUs0KUeXPeqo/sAvZ5My0ocunatD0BJDaP9
w6n+3VXfi01MQhY6i7rIHOpd9ynRW9jkJrgBfVd6QWlrUM11pqaxOuysaw8SJteHFTQ+B8yhDVrO
ppTndd3vb/dYr7/Wcf/YKPkHoOSzwAqyLMgBWTljBsF9lFPW1hg91iP8P5x9WZOcSJrtX2mr56HH
wfFtbLofgIiMyF0pKbW8YFqyWB0c3MFxfv09UdN3qiunq6pNJpnJUpFBEPj2LWf5vau/ynXhcINy
dVDqmEYona/Rt7Ef3v3QQnqN/uriJC7hnyGO0Pkq+2zdgU509WY//tjlX63TuB/puJNZHZnRAwC4
7cbrWx73g/yxtfpa7stYuSAUNuqobJy1KrnuyQ+GM6/BXxDimlxIcGmd4vi74CGGHwMk0tfIL/gz
NGUtJnXcL9JHnY/TPK2lz37sob9api3pa7eHMS2gwnUaZvNI+I+pCdLXsC/CACqiWqcFB/yhHaLb
dGje/NBd/x/IF2SE6pkOaZHwRcdXqenBu669Xt7/2PVfdSUHE09tv4zimI7xBgn11KbXF6ren+kJ
Xhbjv8h0X+O5mqgzqfQlP2oT2ZMr11XfW0Gq6gCeqijPld59fef28t9Irn/J9/7Vh15K8f9U6hUh
KYe1nXrkfpsftjzumz4xh67DquuPdbl1fTaNGnY12UAnnO1bG+ZBnMfe8FofkVi3nc76vVvDuS5D
VH6h1AN2NxBAWruMtmH3PkOQY6bbjsfS3K229DE/b1Eqpi6b976KmoxQ1dAqm50wCIRGjqHLmJrG
6ouZa73EWdqJRp/p3kHuuQhI6EVVhGn1c94F2m5vISHn1yZjHSx+IPMdms0OWayWiKeZCpCG706x
6Tik7zVqlk5n4BX0C27QinF4bxKNbKAVrfxZG43/npcpXQsOuC/NFjyhLl9XnzRXe1g2uC51hNrh
y4iirViybY5J7DMmeVV/Gpq0U990tcDoB0TOfZx1BrWvNny8gPROZtdhywaIRtnc+8bGXSFAnCwP
O1o2ySFKys3mpcRMU/nKfWC6SNadkZtYrlwdG7bsGrywaQwnuAQMueBm5XctWRpZkIZ6mteCT4jC
pJaF1BDAzbap4tMA/GY71lXhFJJmkaNCslUj7mwaZpHBi1aAN7I2V2UqEDZiL+F6ucZojXWTzRKR
XabiqNfFoofk8+Q0L3zYN/FtafZAj2YeWXe/z4nkz/UEv8576kpKb/eylktV9Ds4KulR+SWGIsLO
xdLfgaEhMV6maQxuriK7qpYjgaoxojFNxr07BU43/3WSuhmrfFxRDD4LMJDUu3gTmw15P6RwEqtk
dJGB7Jd+8BFYLDtAW1DQEcu6HALGchzPCUMhLTnzbpB11vFOHXlXD/nIN69nlCRCZNdLZLnaG7LY
7uBn7FH3fKyW9t22JdUgMR3GZDm2lNktH6s6TaASW4e+QF5Ty0/S0WG8UduOIlDNyLLNmTcOxfxM
SSYSRFDOUUpzBRPs9k3cyZkfIbDSbTdD4mNUtYmDttqONrNbK3C3SLDcAcnJIbJG+uVr0kfgzMyr
SM1bwXQsi7q0rP2K3Ef2WDQ6HdfCtmy0991CKv4O8KxJH9sgQBNSIxnZ9c6ipLuNa9/t35uhHxcw
ZuZoTO8nLNr6MJg6JGej43b6UEdakgTbW1dxlgmdKnNPnOvir2lbljJkZaV0deX9urJrMjfp+LH1
PLAcmvcEbPTK01hB2pnx/lvpfNVVWTd18iujfDIfwC7f6xzdJZxd4HmM4Q6oPivx5jFKv43tvO5n
nZgQ3nU7iePc1FhJ39oU0/xUdcl+7xSpjiSZZPsg50XwA5GNqZ+mrt72Rw+CRxKhEw3dAFlclIj5
2Xo3DD936NzUNy2faLgax7Yvr6ZExfPNMsErM29TmiafJIf/7/fYd+U9KOTRNdpI+zdQW3TWelYV
FQSComJrdumv4SGx7ieIB9GPvWpSVZgeTMc3ItT9cB9XZROf/dgs4RBNdbudVJgJvxJ868gHwsuu
fKonVZncBBdBE7ElyoJEozmM/NbdsvnOkt2RMzXc9O9h3FGODwtToj6SuhtF4bZ2xd7pmZzrI/DT
8Xw3qZV/66EJMOQl6m7+od7IjK2kHjd/4Gx0c1UQdKvWm66FwPGxrBYDek0k1updLa1Kz9oYwzNX
RjP/WteqNXk12M61mRziksB7KKXb2fbausL5hESFs0MSZ0O/e/OJOoU7KBipYsgZbriLJqrsnLVb
ZIfDcJHkySBot3f3kwcx7cDM7D8nJHgOe7UKVpE5rCD4HcKl6qXEEhZ529eJzrn2bPwQJvgzQuBI
a0ieZbTb9+bsHViy7wL86eYyqycnNuz3u/HjmLUOx7TPUPFe7Te/rJQ9w4JjxoHQQa1GPfW4ymUg
jVvmA0wc0ek8DD7RLAP3c2BXvYpVd1jXivYhq2In9xu/2QpViw3OUupEyoAYEUy2uj5buKxF2T43
TfSWs25OijrlS1RYssaqEGHf2+eZ7LQ9rW736mrRY1QWk0/KcEth3vVIYts2b1FFTkKXNX3v1BGq
8ZW7Vh0ymPuAupI8pl2D886VJZuA807r7VZXpO3ycZ9jl6dmFhF4C7MtGw/23G7jJ0c6DTLGkDr3
2GxEJKcRLeP2foTSXTNla0hhoANd8Wzys4rPMVXWPTA7RcOXpNlkf8t7ajHHhlr39Xfayx0zQUOy
zR7GSjbrEd9saw9Md6l9z7u1Lq9t1bT0DBIt7++WOYHn1gHbUc8LWCXR8mWHVDI0zW3dspMdm6oC
thkMLMwRCR2l67p1wZxMqykwwwkwxORgDVwPs9WFIXmLz5TPa1y77XMP0Xhw0lVSj2k+QX6xyiPs
T2W+lWZ72ybc0ZNUBlwXNgwAq+p1llEezOJgKTePfgOBZBVxjoaCrB9xu4w9bD5UzSkakhSdo6bs
ouWd1vs4XAO6W++IioZ9+4ZTww4dNFIJid9cOjWU5LSexH63E5Vqi514D+VZthh6CM1yGI7demzI
0wPcL+x8Jq5W7rQ5rtjl5N5qaAJUeIzWZk5hlRPo1VX7UuVT40N4Q9XWqwxGZpIfRaqxv2Ud9e38
QFwspy/7bE3aZr1bN3YOKSXbfYrZX39s7QYLGnxJOpYPHcph/kl2eIjXe9LOWzHQhbkTzv/IVHi4
iV4PfhfCVwie3LhjMOdqPa6+i/R7EQenH1c8s/V6aoEffGjXpm7ytK1H+3EzImGfdCKC1BkUwshg
8KRoX30foJlKHqFan6ovI5RXus9TP3UJ8isIItJct0krTlo4GxC/1UTyMZuiJeAo7DccH4j2IBnL
I7aKwkKkYQyAjYroK1TlQ5oTHOrteV+m7p1YML8PHfE9z5ttR/9FiyH9wBLgInIaZNnmyEVTAUfE
USxXSS8YXzO6ET3dm3qqQTmOId95NKrtxzuqjY/6jIOB9aUdJ7cdWdyk60M8kBn6u+izqnepHHx9
XHs45TxOSU0/SguXl8KmJUoBsokcvw+DKcWRzK1PHtB/osNT3wm738TtMI3YMFOsDcDiAVSTVx1E
VOe7UvfKbLlM0+oxAPkS5Rtv9Ppkdz+BEA3ea+JzyBiWXS5U3JiHzqLGlNW66qcDDeDV9kdQ1OKD
LOkwFDMpE4xEU/fxXbqYi5Mrt5fgRwLtW1e5kitLCr1MJF6ybt/Ch1b2UE3Kdg3W4jsDcht9riwf
b+dhQcSV11Ub5XELVbiQY3dfM+E5dR+SBbIHp4p7g/NebARhOgWB17gs0DRy5wa3QN4s4+BEnjA+
FV2ol+Gq27DUPzEy+/WYiK6P4UwyQ/IsThsqC9oDR5pZGu9HhcPIu2xmZWvvF0Cn1JBrrkV/29ky
PMhwMUDd553eWCk7cpBwsNlwjCLkKOY9xbbv+zWqzh0fmHu39GW8Pg3zEudoNEzJ59CXfs1LX6cn
hGtwzezAohnRdcvmra1PtTMQ1kjBq8ZhS/N9d8pkI8yQeOFmkpwqxAMfvBb0poKUks64aieb13HC
K2i2miQbx7Tl19JX4XsK9k97l2Dp6Ku9tbu6m6JkfiQeEq9Igai7rbhMdsROcTo/rpEBktxtIueg
kd+hKQKyNsxLKdTIQUO+C7NM3o8+qg5d0vIu03pzN2vXq4fKQ0G/6DCNc7YtPk/qsjmlaapuF16F
6yre+s+hWtu3ivZz3hD+pmezfs9aNaisIsYCdrL0XTdlG2mUt1mFaDccA9zjwomvSfXM481cuzZI
VWA681zvy74dh7ll1wHwxfS9j6R4W/UeqIUicYOITqUWq++zEjNXgiYfavK9cWVw7xnjPGRrozcJ
KGe8+lA0Fz2Acx+2HbIpco6DgbPuNNkEeUxDx7ao+BpH12ucgo0NWqkn13Mdl+reRpt1xxU8f/K8
8z7huQrp6m6W1LDqMyJXPR2YS6LkZBrTpLfttvYwe62Gtc98bGb5TJfekIeJLtQcINMQBkgSWF6f
x2hV/aeohpdwm7PQsKYgtq1dtrAGoahyi2jyuUeM4rOSRpT2WWBhab5tktHpdt3Gdf8KUyqPcKh2
kmF291hbzGQtCEPtASo6ZXI1y75p32wxcv/DOKRUH53AvlMgo6nEebrA7w6T0Al9AKmmZTfAz9K4
iNXG1DkGbWr7uQE/QD8s1klD8qCqtb62k6WEZxAUkegx7m3ShzdIjUWCLBiQzf3G2t5iX6gH4eM7
o7Ek33ZIVv2njnXqnI7oM1GrvfgUW9pFnzW6lEiTt5HBBBFF6DrH7ECwlJXLit3dzstWrLqa5QcO
Tr97lh57+0drJ5W0BRNThPOqHFi0vuV+b7cqi5JE0My5cta5Kmmf3NtdbuHnFHT//vvcgM12kC2c
BJ9CX28KggNsnB/h8cy67TCsUHe9Uk2UjI8cqww7IqHzJLE91ZtAsbAeQGs+tZTU/kS7uiO6SPcZ
IUDWc84ryMCPyD8Q8bVTHlZziUVg4+L8m9bNc+WvVFd183Nvo3E9jm3k1NlatTCM2K78XExJv62f
O8XAReJ1p+xn57tpPZqK6ChX3RLfNFNV8nxCN9ndhrZNKwyJaEAGtKiy57NZJwSlE4eczPOyQyUX
BOmpvB2rZLry5SafJpoEh+iA7bt5CH3fZzPsOjOQwqqFwl9MtuMxeMlCXsHhdDnv1CJBq9UiMuv8
GJnMLc7bNyL2ov55hbWJPOwdIXXB/eVczSoLj4lTiTD7toE0F2YdjTW9LltYpt6YKowflMRDKKhz
adxnpAFu4Nn2exshSg0kutp2zOsrxAGxuHY4Atov3tPmCilArD6NkDgXdc5URZons7K6hiR0rHmz
ZJhkjOYSu2pANheBOLeLOm7uZevJns9Y8O+7mOlDXzZ8wFIrl+uRoIJxh3oFZY9y2Hh37ddZfUUl
5iNCD5dwWKpwQMBHeMQkT0NSlZ+hZ9E2RaWxKTbt3N05RxCZ7RAY8edeyDo3e4DhCPD/5NSImfZ3
k6O2v5vLxd4sxoztFxhEu5do6qwttiXCMKabeO6W9NLc6STO9i31zxyxhCuqfUKsDlyT27LeC30E
WVnxrDW+QmyAVuUKszu5oV6LndCivuPaew86AhwY5aXSA+L3/NwhGMsSBgT6GaV0ZW/pJKfokQqA
+AAKEkO1nldeVa7HoCyBWDC6y7Y5bITKVhxayZs31QRv+EMMmsP087Ym3ZpHNSpXn6HVAIPamUmb
HoY6CQmmZpO8nRvkI1dhaG2WtNhATbYuM1zsqmSpv0mmbfJM/VKvedA2RrYj0n7dsnaVffSpaeLy
q7yEJie5gWX+PnDz4rrepQh31RQjmNVpt5wUPEFkrvisX0aGJZtJWHbksAUh6aFXqfyl+NfRHQ8h
yAP0LcsUqQxM1Y9bIrz4aKpIgX/cqBKVwUhpKCNZA4mCAkGJ9teMj+O3vt9ojH0urdvhGUptqs2T
ufb01Lo0fEfqXO03c5+UL7rud8Xg/x3W5FbXPp3eRyXh7CWGZQb7jtSyRmWkrditGucOewepQ55U
8eQfZ1UKA6oRektpxSvy2ESco5qN0IPcMA9B0aNaZ54Um9sJPax8tWvW62V7C03kOP1gZrW+iaLU
fpCliN8DQOH2q7EEW+QUjUiMt15v64GnEoK+e7uaD3jm3c0Qd4C18RYG3NA4ScfzWCs15cwM2mcm
KruPYOpu2cTA8jEm9fxm3kz0KLjf7rjaa3kcS0gvHHoWtqsJthJXsenJOYVNMva8gdrnWlUsPJhq
BHt4XaH3k7FpKd1bv0Di9TMERJCc2eDT+iNKw1RkfA14DolvW2wLisZ0RMQhwD+WxL2vN44gkaKU
UFWIMloWQR5W7FExAwbPDkxWqJt42KvDp0TMe3OVGGKeIb/edk+JHEEC3+DA8NTgRjLarLFZcmzb
wflsRm2MPpiuFmlODW7n/TiWfjy2U9nWeZIK479esK7ncei1vtmE2Ht8RhfZpy5Off9AK+ERsIWG
HqU00XgChFL4NyhFDwdsE8NwnBlrbZHUax8DLgdj2MPoCTYR6GNcYyxQjigNGw3SbQ/Q8hqCe7JR
3a75wJa4v46iVe9XkB/bv0cMtklZD2vIm2ofNyyfUuJxdJ4cOpUu+TQ5f03HGAFn3Qw3wdTsCejl
CQwB6DuizgGhBpqK8mO0A05+lGDIhPeoM20rDiJL4u9OzlUi4IHT7SgP2H4xw3lAh6L5XO+T1TlG
CoR32dWIzLFj9qvO66k00C+HeJG6g0SaFLny3CznbUwneSVgyw1r1HLlsskiBtnDo1f0sgijdq0q
uCtOyJiw+XRFu1vlzw6kDJUl4+Z6LGP0u14WnJ3l2cyOVMUKRW0CJKZO0vh5TBGhFatXc52LdOXg
+jgeuueGQ6amINCbbz72KGikmR6Wun5Pth27RxVFPL7mItYs1yrpk2JENWzNx2FFaSsDCWqrihYs
NPKQmmmWb2AI0qxZgAq0OSyhZGMWkj1FBKNM7L5FM1wVMgaqh3oDL5tVXNXBePGN40v5DxYBKr9l
Nu5FnvaiSx77yhOIJhskBXVjtX4KIPB3x6S1RIeMgWy/ooBZD3uFRN2h5IBJvSEohG16OcHrWtny
rh5Js5/jlGzDnTKo02bcUA+9dFPPL4TRpr5P9nIAuKck3XBa5BoljyDYCY41NdPdo/8zBHOEf6Of
j4CLGZ2jq8KWr4PXNoJB4u7kOepRTvlIen0ZIY7Ep4hnZVqwFpGA6fsF9cMuB7/C2SWDFkuc3BCe
MCSXzEXDqQHOYv3qk6BsUXJeuiuP/doXMzOmO/SUyqlI4EjjumyadaiPyAZ7dVOmkF8D+LK/2IPB
LW0s2rpR23XpiJA5eCKVYgWUGAgWVFNq9LPRCh2ra75udEfM4kx6QpFgRLd+QmyXoQ4bdxmYhXtb
TJgG/THdlnh6EQ3r+gi5Q5w6Cr9biJj8bDrdg8/VoUPmcJhqxIlpHvWzuuKJScJ27mJJ5TM0o7W7
9UjtN4Mv3qRtihhko+MDE02/fYjwbVSU1bGj43K8qFkjIV3lvqb3yyWDvimjsdsQfAEvC4GpUFbV
Q9CxRbIyL5RjgacdalYiR6+FIVslVqvhWxOQXQMgF4QmL7NbownBgGBImEYHuu0Kt5pxvrZqXOQD
w+ZRIVSU7f69q9GN+Ny2fuyOaZUOkcfTNXSAFzOfmzcpwn2s5USJlB0NQqPppTYp8zJzsYJasxfp
It/FqM81sH9B/d99VXO6dM8mWsbocazQ8HmzXhJVKBYE2Se5WCfoGoM2Z+b+XGv0vTBJUkOPs0Di
ww/wUVymGzAAK+bzHT2kEZluM4tGFIRxJ2+8QSfpFtG15LcIi1L7dujbbr4WFfXjOVrglf6ZElKS
nF9ituMy6mjJepH46HYkUKd6Ey12abDHQYY+V4iMh0NYtJzvG+tAdNGMiPXd3gMXmEti0eRpaD9A
YmauIvdNcmvKd9RbbP4D/A3adb+Odth3I2SFrmF/9qaiAfEULK7zWGxuOYVxUPQ0o8rur/qO7+QZ
VUXGrpsOncDcEA0AwAHEUzLLAnNzR23rUlGLjtOcJEtOuW6jDGvujhsbUvQaGeQxjiQGtHo6NlGM
fg8f0OIJWQ+LNZmFaTOsmGvB0pPbFrWfTLpFZICkW+IXhZpeBa+0cVFxe8vi2dpnZqGq/iKqdNG3
CGwbcexZvai33qM1U/SVbCuwEwFIe2yGoec3ZdUP3Vsv8WBuQiI7e00WWOrcrbjXBI7mYWeP7SJ0
db21s+reI9FryjUnC6LlqWhHqVG2TqHR1pB8wWI2UQ7tDx5MgT6gkOrYAQ54kTAWn6BgSGycKwUB
TH3QaAXZ5YwAbMaDdaI18yPO6QGFZ4Bx0EpD7KbCW4rHDnKVYnW3v0f3pNyOK1byUe27uEUSzaOb
JCoVAjtOoF6XXNp4MrkiLefmqmvFxG73fgRFN07C6D75ZlEQregWSIccXWW2UGex50ygx5kAdEUm
K9eco7BhP+sVkvWPI2QXbHK8SL3GqGlsDObuct7V2uZKe98VQc8XRzln+T2by3Q4pyCX+9M0mIUW
1RrMcJtY6NSgRErQbx3DLJZjgyJ+nEU2jqMjepSuKXpZKaSdZrIGERLVDf2yCbjI35R71W5PkGRI
HWrvdTnv3+nAaPXVdCPpz4SC6ngmqPpOd6CXz+5dD0lqxDYDS7fbOI1s+DlMrDW3IVSRRYFvS2S+
K4QjGerLC3orjbUA+00uvVuItj53Acah5xm30BbLniRdDmw8R888TS8Y1VUeFeDB9/0KZ+D3xHeV
vZvdHg/XArZ3+2W0RQmug3IBzvBWpO1XlPkiWrRMRsZCrBX5TG4HzHZ9QGTd4YDERnpJ8/1s/IOK
5pXmIYriGYtFTjPoEoZdnqAyKFchkpiZerBi7SPw0hvRfF8u5+N3sYBnD3kDVp2nUYU4I9jv+rd0
nhOHtVcxPbnMSAuiP0pMMIoSNWlIQRMWAV5Dq6m8T2rh/BHbKLQQ135o1hfXbma7HXeh2Yd5W3iK
5GVql+sQxL59kEKb9eGi4UhPVi9lpiF2M2WIRqtLsdxsK85cNDAfZQhKXNsaTIN7NEo0NBgQG+8o
bU0dqlYMxpUpc19AXJ1kBmJR4g8bNx2qdvNUPwEmESMiWmHK/NQC2YhzER4b0G5UqyzVszBEAa49
EPSz1quhnKfRZQ34fmk2SuAIaI7e97y8oJBUoXiLgg1xX1Ct2Jso4w7ha5sx7LIONcR+BNsjg0g9
8s7jBnoozIGGLeX1JzCswzJni4eJzXSlV8eaNvcT9MMRhxK+sbiYaQ0oR/EfdnaQ542YvEKnirqc
ABFks0i6qcwhlEzfU7w7ull9XZmzqi+13wrp92Yue2ZaPoyJnQ+oFuwLkMpRGZ3/o1w2sgWb9icI
dW9bQXg7LtkeavaAhtWwFLwE+fvHEEyvlYV4SAc9DrY/EPWxTd/x9ccQ6q8FhVhPV7RrcF3aPEkU
LRr2gxSa13JCI9QaVdkIccQxSVBEUiu5s9it7Z9weH9HsAotg98ifVAKSxwQaehMRFh/Uz027kb7
aIQGop0NCk7J2sIWQKgpedwsSrdIsNqI5GO0YZz+GEJ1QRX9K7TRK2BZhRbN1kSzOI5wM+2LBsyQ
O4AHpxzxGtqP6MXJ8x9/0u+BqV5hQefJYqoBU3yEIMAk3rowlkthKsS5hcfJBHVSKJL0iEq3MPzJ
E/4dkOVrdaIW+DCcJgk7cglPDgfZmcOEWvOffKHfu/or9JmBo58VtWJAjuiv3Rw/e2nKP4GL/961
X8FDEaZP2lQlOwbYfmT1HM7N0tMfvPgrhJmLYzeMC2dH1KAPaKQ2WRmj8vjHw/x7d/4KHlpua+OY
avixIpHFmb6WWVzj9P+xq18+9Z/AcUlnKNBBeC7JrqHN6xRcJvfx7R9f/HdmKKG/vTifY+3N1mK6
1EIl3y1qSj4nPCTwFZKJNplZgMY+gSnEzA/Z89HXeja1rLyAjBA7wg6VfUin2d63Mcqrf/yFftlc
/8Xqfq1mI9pAURaq0qOWqkYFWg3Bo7mCPy8hdvw5ReSN/xnSeOBXjWnftXvzLsZMY6fSNkuNXKWq
D3Bn/L6tFNbNmRMIyf7n7v7z2/Zf1cv4+D/3Yf/+3/j522iQ7Fe1e/Xj39+NGn//+/Ke//2d377j
71cv4/0X/WJf/9Jv3oPr/uNziy/uy29+OCAud+HN8jKHpxe79O6X6+MOL7/57774l5dfrvIumJe/
/fTlu26GAknP3HxzP/3jpfP3v/0UC3WhRv/nP3/CP16+fIW//XT7Bdr5X777lxfzL9738sW6v/0k
0r/G8GfjSnCKvBgn7U9/8S+/vJL8FXgGwgksryS0eC48xAHOpzU+Of6rIAyJPUj8EItBVfKnv9hx
ubwk/5rwOE7wikpEksJb86f/f3+/GaNfx+wvw6Ifx2Zw9m8//UIM+HVKcQWFIRELQWLOE0ni1zJV
7H+xvdzra8S9V8oDo1Lp+bOzwLzAN6bouB+yFpawJQRycybIc43q0+1o149ATXxazHzP5z1cbfWK
XGVyj201oC/N46YYl6gpJmPTfGb9RyctOh2q+wjoEaKzcE0VB/p14SZHCJyj5vkn0PPfnoa/fDkJ
LgSgz5JCP/01/+pXuPWmW8h6L8eu/PnfQ12//iTIQMUM8C8V42/6f9wRq2iOxXpBX6OOnzXAj14Q
2MGNRWyq4p+m2D+G8DdDdmEw/TpkAv4rXKTx5R9wEFPUkn67v/2qJTTw9RuqYSIXevgAHAriYSCO
yhWwzp6vXUHgAlWIdbHY/VI076qpvioh6XXa4VOQNuITfusddP/uIpbsBWg1H6vI34xcfEnqImWG
F6j+wxQUzGlDa/CPhwldGmhhDqzxx5KSa00Xe4Yjl80dzD4PKTItQCjDF77un6ap+UzRWc36jrA/
OTd+CdpePQOpGGEJ54wzUCF++wx+VTCARtMVuhJZrKF+Zmp3NGN5pcaPRvMvEc6r5AIua8omS1f9
vY/qlz8ejF8+6Lc3IuKYJvT/sXcmS3IjyZb9IqRgMgxbAD67xzyQ3ECCDAYAwzwPX98HkZlFMrIq
85VIb7rlLauYwXC6O8xUr9571FZVU3cc7cML+RCN10Al+YNif3Lw6AWTln3DCn0y5bwa0E5NvzyU
Yr4dQnCfRoUjBuH11uibeyaxwSTqnRnZL4uMvuSztv3nhL2+1mY/v1jbshwOIRQH4BGCI+TXd+0H
XExVF0buXXm01fEBEt59rViXqkse2r48SNfaLxMXSa0+KTGe295EpJ1irB8yGAgy2p2GbSOL/diy
HsaVHvH3b+pfPl1epyscTM2rg0Jw0v36On9gUoYku68cWcO1Zx6Dw/EadfbUhiRKgFSqnmlhPcPS
9GWol3u0hk3f/lM+/tcqwmad2i+vxflQ76r/IpOERUycUPVSV/PeCSUoKe0//rr3M+nDZ+RaKt8m
FFnH1v9y1/8LRGN0y+qjqEomeg3+8JFvhXmvRZnOwCIvg4EhMDNAO7mx4vlgqvEXezaYYkk2nUbs
AfAKt/gU9oKZOEEZVksvSZae0Coyvw/daRuK5NbN1T7opOspxnJ2utbcSyucvEor2Gk06Cj8pbYZ
o/7kuMz8lIK5sWnW56xWoi2I/car3JZEhaPOmxIctifyUnqYsIwNAf6bv/9W/HrE/v5BWLpqWdxV
mm1+7ALwBP7EcVnMaCurq0k6QfpP+//+zWNiq5bBpeiY/KK/ZNR/cMMMaZ+SIf1eCMRztP0WachA
WGjjZzmN92a9HJgU3xmz/jl0sCmSwPjSMIoqRPsa2YtXqOmeuehD1zWXqcx2f/+GmH/9av76Oqkf
fq6if9CjwsU6z9q4BWzLtlWZf4KgrHo2mxuCuCIMECssosiYkjC8nBmY15+iJceoPy7KlWW2ymaa
amNvyGS4NIBCA6mP6V4UTriLass84gZLn/rRxPpYd1eYFpHmq771qo5ptaJjDylcfjGS/RwwDseR
VJu6p4xz5yl1km9KJKYdw4jnqZMv4Vp/Tizh/jKL/klfHCtYqByIhwwZRtOo2YZ9HZ0Kq1y2aZw9
/f179tcvEdWOMKl6uKbBiX54mtPOpdwwgKREIrzqypRDEBnOsHdh9U+bUt8pzr8+ye81B64JnQC1
+CiV/OC9DPpiHPt+eV6SyjhVzRw9xfjRvKyuPauYL230FtnJ6LMcp2IEwQU7dmUTLLNm8aGI5kZz
5+3fvw9rjfDhtRmG4Kl1MUpQ537okTI5MPdzIBfJPDvO0XaFFy3149//kvdg2Iff4qjY/FWb36Hp
H3FXP7BjUsMjSbpkP4skDULBjC6JiRu1/d0YVdVLVotHFqrcitbAioT72DbhLMBgr5iKJcXGbqcb
pxHxOVMYlDUhQ+q/f6kfayobuR2vFpciXwtd+4jd7CQRy0mAW8Ixy6lCqHuQTOrjCiOxqmJdjZF3
1PDELsN/uOxWeeGX98jGgW45loVDVrXFRyDGD/xNXtlPISvHVgJODgjVKPQ7luusEep/+JXvCPWP
v9PSdN0yXW5YLP6/Hhw/qDVuHe5yXWHwlVTTsWJ7JsINpX3ef0OtfKxj80Um1ou+6LEfKl/poCI/
VsryypmKN2kbB620/UQ+/P2H8Z7//+X14dvCRUKBC+PK4Sn69fX9YKiQIV39RbtQhNtQ8rgQ1LOw
ai3ZCUV4N076mxTxsV+sL23ZTNvOCj839YID0DLv9HF4k3G8zSd1Gw2Af5Q0uRmtdFfFwHREmSCZ
l98w2Dgbu4+2A0aYQ8kfL/g8jhL1zMunNpinvt6mov0+5+oD+z1x7OEImIvt0KyTxHDcDEbzT4u4
3hd7fngHLNoWZkCCZ8f9WN/+gLywz/2BAMXt4pR7u8C2UVVssQCQ02xaHKvVFGW+FvL/lNgf6fDb
TRe1d10z3pmN5DJQmGckqcmQouGCt1XPydVPds3AInfb0cM2co7ariPKx+HNrsttM1qaZ+fpmTHZ
GCRh+OKIsvCsyLkfDPcz2JaLFhlBmumHRnIbyLkIRmaoQHCXVwauVdDr9VXTJ8HAC9XU/Br30HmS
8pxmqSA0J16GrguwcwLULsZd1zH2UYBR0oNsJje1PUSMZWsWhr6ZDDwiiqp56qhFXpdPwayl0zY2
W9+YLMXjj466qL6NTXRdZp/sxSWh/g8V/l8uWcegXObRpLVTDfPjyfCDwGRg6lr2wt4P5b5mCPxn
WPQPIePm94/3g2Ly4X/+/yagqBwylGo/Pf6rSvOLhhJ8z+LkF/XkXz/0h4Bi/wbFg+uTQ1Kl410T
tn8IKNZvJFjeFQxXZwn7usb6DwFFd37Dx4HawsODAeS9Sf5DQOGPTFXnp6jx1o9U6P+NgPJOIP/5
SVUdZBiOUc0CU4WT9ENFkRSCdJ+LrzRpqH3oUWoc8UM0foqHbrgmafnQK41yVxgdM0USA9VpNjHc
CQK+KTM9mX3O02Z4YSyVHMLU7TcMngWmeLf38GR024TE3e1kqdMdf33M9GysbiJcct8Z4n4d+5bA
6OIqm1piHbJKs7yp3DF8qHUM5gzT22ejNPOX0mGzmIIrz2vDNL2ZS3GXltlwYsMGWTXDGp8Maakb
VS6hF+FyDVwSK/dl6X7Cn2T62kiktUjraWMpyrhTC5rCSdeToG0r2sO5vldzI16TziXYic69qyYl
Dfq+q+/NnB1kbcQwMxpbzIlNJ/bEgOodhtHxmekEmSU9zN6wHxbnwYjir47FhYclq/vaF077IHs9
Z+1hSLyE+8INzMGwE8qWiVsLd6T2JZV4CC0TtLpaO+551CY2s7FzrWSMimH0CytUExi6rjATr6bX
/VxSD9HBVSMJPCBdpdcM4kIdiH9otlPnyVGy9hTXGhWy4SzVAJOuhGr8/iX/v/2wX5JvpGzLt+6j
XPqLwvr/kqb6/nSvysN/llUvL0VS9c1fD4X1x34/FFzzNzoziFiOKXQN4Ci9z++Hgqv/RlFrgxUW
po5+uxadfx4K4jfLJZHHiYAkK9Yn/09VVTd+c/AUMcmlLEY4hInzX6iq7Nr7tapzVEvwa2xduEKg
DDofWjOB/bxSVCKNEq/9nmQGqwsT92h2IPWqLtIjX0TTQ+rIYmcOGT16vEyPJECV+0JLnpvIrS8M
u5e7iEn2CUsPkaXBvNUKHo10oZjWRjPZ61OpbnERRzWjpfAJfSq/dKlyaJvQ9fEr9acsbe+UItVI
wk7xV6FgtBKDLHx9yDDCYYXzMpkz4W4tejWzJkuu4KJfgoo014M7zw4dWRdSdc3VpZEmGhDANtXP
Y8KgixpKhg2pTbrPNcXebd3pPuvz+FNSVd/TRSlsvJ1G3fhTIr8kuvw6ujpucNO8knR3Hs1dehqd
vAtaw4QKbgKwUgqSBMA8riZBgLVVwvxOEsW6uKnYz71LoiQH5cTW6MkH1IOdrE4QZOLk0zBJ/OBd
VWeeUhCobNuxJsZrHFStkU+Syz33VIq8Rs81v+UrQsi3y6s7Fqa9jqI1V2doSOaQAoqaZWx9p1W/
5Bq6MSdmMewQQiKfijW6H4g5gh5W7ofezm6HzFJ22SjCIqjMUL0VI2tZPTMaY6xfhTaovrYWZWjb
agjdoEkNL81iFV9gx5Aj1Cdl29Vm3pGobIagV1jWuc+qOFIORM+yE7VeJ7chi3CJBk5tGp4WGXbD
NnYU9zQw633u9CZsDm1ttfHOnRPShJ2odZIKS20Fg5hZ4YpiP4S+bElSs0vTVL+R1Z6eCnY6DGxO
bsmJAIxYdcs879zNrMzuDcbe1PLyGrHX11xbDN7ILUPxqMnkE2ae5rKQW6g2WimjBLthaF7HUZFr
DGc5lpsuU70Ep6pnu8VwTTveardz2jmlT4hVKTzVtDN7M5oaWpNL1mi8k7hi4r29FttHvmEGCrYT
RWzMtGudbU9j8VZWSX6ymx5qB3nWptoNVt3ymZO6OXK1Ys4k8Y+Vzhrd23aIDuTWLOxpIxeaSDcd
ZIpgcAzVo+WINqZx5ajmp6y1byaZqQH7r3W/TRqyaWbsiUa9ZBXOUxA5d+ze/RpW5n1fWJtZwwqY
YHIjnXvJx74+yygMjLQ8WPHFyodqnfKzwjNa/K4p+cj0UUB7nfNDpKaYymDufufrjNO2ABak3uhd
ogQgJW5Vta62hEG9nCNq65LTD/invhnLbd5BIHD4GTY3fsoVXd62qnoAEZIEY9PAEFkN23orLZAy
yquJxHfv4lv3LKW9cayZTmVuKUoIqbNRNNpnYsm83ogfcmOIdyl6kTdmRrSv7Sj1LAvrrTtjHNJA
ymGFXfBTd6XygubHghR7NxVlvFkMIuBDZUf7wlEJ2ZRGgIsJqwEZ1DII2QlzURNpfXHn6F7P8iRI
HL0ndZNVPDJyizPeCTTD7vy+D+1vi7m0G+JoG9bftmdSJRP2ducQF1l4AE1xz9F3iaSIPKOe9WOa
ONsOHuksMxyss27tarfZ5ZXT75iUvWZ21HqTNX9nN9y1EY+lPyymtTVb50FZBu372Dnp136J3n66
nf6o23+eyNCu/3LcOyYjOiYxtNRry2bbH6nnBV4mZUg0d69EKMQxMVyWIGSFFkRYFK/j0uIpUZZe
QKEi8HJRyyn5FMkyBFA3DFQ2uTXGnJOdxVNnlaF7I/WqdzfRlDYz38vEwcmupey6QI2cn8qm0L4N
c8jzrDXjGPp2ldkYjvOlsYK5JCKOwNYMx1SL+3gXR5bSHFgUyWFBgPY0zHIYtuL9NFHeT5b6/ZRh
DUB2mvIpVg59N5Nr57lEP2yagkQe9MitE6fyrpPKbKNcqfahqWuOqdGKvukhKjUmmG0FWuOchey+
dvG290nCpymHs8oGopNQi5Mu0/hkhFJupJ5Pfqq7cZDnhHjwmFqEY4y7Jdc6TGRWewZ9K3Y1GxwY
FXbC10BtB/kU7gji6hAk7O675kCYaYao3NRGnPFdbbE279pU66edHEq393Fxzbs2XHhaLFU2fLvx
wpa+WRGIuE/mVhtPcy1zP5OjYAsNoJiJJA0LdpU8cN2oeMKWv9xYIawbfOlXSdnI0xxp5k1vklv3
nDAqPnMotH5GWH3LMLUMWPbZJHygtbweqt55jToq06SQt01W6kdc+0VQRrnULqqppVe5C3/A6zD1
rzCTfEnOuaNbpxh+xHXh5MrOHmLzmxMOyg5MTHcTArLxSjuKvoUoqzOjrbpHSOX0GoDJXIeiV28T
SP9BqYEVIZi7V6c237So84T/8+YmiymDE6Hvsrycd1qtHbntGs/uleHkRLUTWFNTb8aYze6tznYb
zfFgbZ2J8X6Ko2Xa8M49ZxHXP+SEkH+JC4nDiQdPr7SH3O1KP+2nfWMyBkgzMoST8RqpKNNWrXyr
DckIBZMCAkx3NGwZxDhzM107AQh8DhEVnJpU6EDQRLMIyLpXCNhkPnHYb6elfyWor12ltfG9JPV7
SfvKDDRbbbbOpDj7UuteiF+1x9jRBr8FRPM6u+54HCynvc1LfSbZIbCZV4lDrDd1dgMIC4pFgVhv
vA5m5m6VvCFSmEZOkGtJwtRO+YxPJNrBeNauitq9SKbccF97HVqoMmMz1Mot64tCH6534Q2iWXwS
Hz0A7gzsDaeVyQq1zqkCqoRtWbXdBbxSE8zLPO9AzrR+PpERi8LpkmlactBzvTgr2mxRfGgWu6pt
7TYVRXsjimhjuENyUDon8yMMikjshZ0cmVzpo6crmfm9DbNho/da9ZYOkeNxfZdbs1/KIG+FDuBD
508TWCvSSOWOQZrkhu31+fMk7KH1rGnWn+159YgODQIRWdzuCc+rSttHjueNtPO6cI5lUz4LWzqL
PbYTEVGl6WMy2QQXMPNzRzfrbZ2+X9zV+yVOiIQL3bAzGBCEjrnoh/dLn9wIBQDOKIqB6b0wQKak
SLDWeiFeK4f/7bb+Rw6W37stFJP/3G1dvUQv2Uvx+m/aLX7uj3ZL/KbTy+A7oH3SGbnTOf3Rbhmo
M6uQjMcFrVJdDSZ/tlvWb66+SiK4OFbFZe3R/tRgxG/AxS0X8A9xdf5K+79qt953tf0kwjgqBhoW
8Diu7jqOxVr0XwXjxWl1hk8yPxA/mzeF/cI8BQ8py7muYnMO1wiuCAq4GyWosgB0LuEedcpeJlPY
F8nj5k2ts5MCy1ZcjTeINbFnFs5jZOZuQPLFnkhIkkaHZOCPrNG8HRqRexANWJlT9dl9G4OWkG7T
7J3Y/CxZ/6i31mVul85zRLKJbZl43RDe9srExCc3NmpKO4DN+nECVgGBysrQXMU5N2brxU60bDek
Lqe2bnmp4y4Xrvbc7+hYvCybpTfIdt8rzrgd2VFLtNTZkvFAIaX7Moj3rPwhzQ76qFGC0h1vkfH3
fIKvI5G2scrPYN82c6vfQXw/lU0V+Xqf+IC43qByTEeixXJBY3eWnR439wRq9esyycvtsCjVbrKT
R8gt1JfjuRe8mW5XGWcJ44sxWnplFt2uVnDvF1V9MQTWE0ct810ydd+IDi1X4VPrGpj9as7buO6P
phZnV+TFniwxB1ndbzIT+lxu1r7mFG+dOSyBa8mtRiR/cizwc/IBvtMhrnI9aECrBAPhBm7SKFAW
uVfm/lbRxbCJ2nZ6BKEmDoadb6pen4IkLTeganhr7Dra5+AX7tl4eRev5b2gpCEfk20nsju+LHPz
WhgNCJi1Wp4JxvqkA+TO6czQz4QjDrq7zA9GXt4ZaU3DwAqtHkkqnu/VjGKD7rOrdp0io+vJuri5
eDRUychLWsXN2CgKZhmKWpWeSU4BJ/VzlM1XmWQ02/WTuSMifo6a9qDQgahL9DxGY3Oakg3wg4SP
qr1qmu4tLe7Ze8HVwmwPUbrKCEHO3DbaxpxIoAw0wrVLzDEkPgvwtL6aB/WcCka3s114jkNwtZ4P
U6s+hvmTnlUM/eMcdpO1/m55qFXFa8A2POpJk/jOPKDcx57ebgtQPX7ujNqupnplMP4Cuys5LZr7
lkn3AkLKM9X8iC3pxugcfygkjYl+1yyx9nmAn0JjWCYbs3ede9cqtkUY1vy9M/ewkTfK9RIb4kYb
F3RPl1UzBfimbxXCxKlr0qTz21lYN1ltVEcjbOeTNBvnRRACYH11EZ0UzXUOMLv6AySj7FmS/xl8
p2+Tc6zH6iFmje9+tpvoAQ4NERwMcwejVOfPc9qW/lyP5U3MouqDbRfZFxaW2feLmSx+pqYp93pB
VWaV7qlaTbHkAFk+pGnRoVeW6UIYJn9YumR6ILzRs92tyh/zZm639bASaZrKbV7ATtpBrcUDMCFX
XJAjq3M6OOOt1hfGldCW/tipjfZZA4W5saNy2k6la53qzEoPTezi5W/K+LtBbI9aNJ+b1ypP8cSU
A+/60o/JRSL8nkWYdacMzqEG2Y8O03Em9W402Aiihbp2ztMyfpz5sMCaiebMV8U+Gyz9PkO6wxBa
NYnm9wwidxqktysmIsTAV6ECZhiaxU+3zL/pmlhS/peuyYVtZnMLOBaQtXcb0E8u4DQl+Wu0C716
FGVXldmUw0G2Q3tVr7CdPlSnoKJmwIWi9QH0uCUYGZduwELQwXf9ozW0yjYz5pqnQLacsJjvAhEl
Ks5fF2KMmUSfu7BHZCBFJG7YtCpPHWW8vdbzcPKWm8picaMJ7O8yRyvwr44fRYiI3WBL2rcTsd5B
Y+9aPIuHpoljr+/H/NrqCYoF49yHD9U46srOFXO9oCotdRHEBX+xp4+xW/mWXc27YonDnh4uHKad
CptIbgZy5p8VLa6xRq7NiyAd9GjY8A5bHY4FadctU7u73lZ2RUJaAPNvUBUrB7Cz8bEC/tolOZWi
EZHxXNulnr6pmrozhdN92JAPrUq186BXHZUsQSkrwmQDGQEmp9IvPmvkZ1+L81O7mMMpbMqzzfCX
y3LGAt9GJDUTuH19M29y7DxevTZ48SDGYzGM6IMQi1A5LHFVzpLMqqtlW3ttDKuFmWLVRyRil9He
uYRS/X6BRIVQiFt0rIR9nnvZnhOhuJdeqPFjrEb6meQA62qEq96VmqXexKmhE4NLIMzwWU9nVg0m
Fype98IAhu875JP21YYuY6LkGPH3PCNbODUk35r1SZnXZ8ZZnx59fY769YmCxNIfAa4aV6lSTLdV
ndRnUy24n+N2uKpGrsoCxNsLyFnsXETg2m26PsEEqvqjuj7VoZ0WD8P6pAuN26caWD1Wr+dAsp4I
RIatU2ViJhnqYv0e1M69s54hyXqaLOu5sqwnjLmeNWI9dbr1/FnWkyhZzyTyQOohdbTkXEQWR9bU
Nflz4yz9gWyTe6hgPZ7YvEMmns0fLzLT51MVKtVRtVL7BnwOB6PLf32iALG+YXSId6ihMHuqxLrh
v1auMdRYNNCzuUkSywZiQ1qJmGTYOBO+e5cKBVMb/2zHBRqFaGbLcWsn4URWuJqs3Gfg28x78Hj5
cFXAcvVVwSJJwCJuuwT6ispBLHBDeSyWNqqeSdECZ9VFWnX4YI2025cRbfpZz9Ro8so2MRkadQ4g
UQKn+NbZeeciCkYKnhgnjueIbYTAVTf5IhbuayEW1W9MK0dZK2S5c0CJXBtsgbo4JA5vaZW1beYa
yEjS1EB7NSL1jSXM1V1txVm2wZvrjH4oS5fNF1X41UA5HNldlqGNNvbC/tw+Z8OfP8Bhy8jtDuon
pJAEi2NcaJwt8GVcvmL0yufG6PS7tKt5X4r61g7nxV/IFG/UdmYlqV7sW+GoW2l3j91wthbG11Go
XpjyVxcziVU0EiX0qVHBpTZJ6Ks2OAgtnF18dGTi8rIaPbgE8DkG+aVKXdJ2cvymwQf2nYaUrjvr
N6Faj1dlxzNqtc3XxP6KGc89QhtOOG9mPRg6rgGjrNn3bqs7Oy5vTVe7gwrrBlPm3GjhGO7j3LZ8
PN7qpq9N+9RZk7XPgBz5SQKixlHuQLdx5yWacVa4/zfqUn3DfAcGNlKY2q/sKPAfN1znj4tWJW/C
HAE2sjUGMbFcTjIFKDGNZfek4QwEIlDPb26p8R3swWAYPhG4Ve54lz7+t8/7n/R5LICmI/vPPZ6X
xC/Nzw3e7z/we3PnOL8ZjMGJe+vqr7M0Z23u+L/JBqzjsvfR+5/Nnf2bWH1d1ACubukoDT+aO5OI
Ak5j+BVAFmztv0soOO+Ly35q7kxddXAta5opaCb5K/mX/mxzrGmO2sLNjV0VauaDjMwl6Oe4OE62
3QaDnPrdwB7bOM0nhtKO8zmx8/ysMxCuPbS32twVrmYBizDTZ+xAyVUxLNZFcwvI38TmYtdrgdkA
Tmos61lfRjK6IzP4c5jGq4rV1cUhdWdrFwGmfXYNq3xbSrt7jiGDUDsYendt2cp0ozoRvJZWVXyz
hjEw4hs4Ts2g3/WMok5mW5THWWtt0tpFd4iAvEyBpivGs2Itunmqulae5HqKeYljFg+Iawt3QmIq
J1Xyi3xhyoE1T9ZgAVbO6RtLSdBUKOJkueXwhTwcopBUoNv4tT0nT0CuKO3FPLpb0rv83UY5AdXM
JGmuKFv0VzcKoV6BGi+PMAKjrSCoe7WCLDk4wAac1VwyWWhKt/Xy0s5hFVpGc6tUcFq9vE/mWxfi
w3YAC3kpHDMdPDXt45R0rMj766ib+zeI58od7DHqrywJx5dKEzkQZiUcQH0qc30VT6nAMaE6ebXF
0qdwJsVDetuijx0sMiLbfobh4RU1yJ50TMFh93Z5hhUtDpLSlJXBJipzbkt3r/cCE9ZkvMXdKoVb
sVjLlMxs9lJJ694rXbVnmNmpfLok/vXUAz+QfIGZSs2w4q7nTq22LebRe1Gq9nYwjOZ17rIk4d0I
+12vSONblWrjZ60brKNSyegk4ra8tZxZfxzNormATpPCj2fVVraiUiWu2n4oci81ZdT6trTEsY+g
EWXp5F6DB682tUgLBsEYNI7zUNgQ+yXAJVBat4uo7JMhlXGjWb34ksPMechhLd6bq5S+Z/07Mu+i
kP3HSaeC/xQTaqnlxteVpUIWx8bQXUTjGGdR2zpDULwfXhiW/aFvFz33ipG3FJRCmu81xZW3SdSP
TCbdYTqHY3ufq0v4xW2K9KikpvmZ29w62cqc7SO90XmbSs3F4cUb5QkbjwZ031qUfkF0nQC7KxXk
gZJyeMtlM9BstotxoKxn8bJhtfommYfmTikxeTl0rOrIDExU9ZeqykMQKWUe1N2gPNVmM/mNWx7V
qVe2dh9S2s/mdZfCmsXGuUVsjlnlZz6HcbLJe1rTsrQba6WdUd054yvAlm+a0tRXudXc10315iZt
6IcG1BWXYH+F/tot5nid11FgiwqXi2QSg9a1LRP2HKCl53zrLduerO1Izr9AWWkdLzGn2evKdtlN
kPiZmsteHBvQ8KNqkJMCJ2sE7tLlZ4ckz4bHcHhkPF5cFJUkCpimcpfRu/S3WBXDCOJK1jhUyEo8
epEyOV/AgqaF1wHxWuvAKP6WFpyJAaeJPm1K4NXu0cEvHe+IjbgQYkSmQIl0Rl4kPyRUZpYRE/sJ
rphyHkUHE2h07PQ1MYoeUgp4Ofb9CL4W3bTDAmzu1MFUN2ZUgyqmGPKHUVV3ObpXAkE3DB9t3lq/
7+A6UMGnWzgMeROkMch+YBJRvSlk11OlyOVC5l29d9DIvzhabRlYSpvhBCeuRIMJ05tQd8ItoLnk
rUrGEGd4CkzWWzp13o4z2aGEPnTyFp1FAoUx9J8rM1P3NdkzWLpLmuznMAH1ApMYWjID/EuDaQ+S
k5vs3TpqPpl6I/g6zNADQ1yMeVV2aEnFgCKjNZ8UYjhHO69pFQHk2ru2rzueh6i9kVLtBwLZZv81
mgri57q7XyJx0tJ0PsN6zj41etSeomja90uq3PfVkB5k4aR3ID6iawue+LWupPnOKQrjpi7OVdId
8mGYb+gckgAK4/BIzG/YAg0o6KtQnw5LWilXaluo1Yl+fr4mQpOdZcwJz/TE1Y7gtD6Hrtt9tlnC
/lQnfXnhbU5v83Qxv3SiwMtVQ6qo/BrKxHUEyP3MPlcQkHq0tIHsO2MzOp3rU4zqlzhfChrnsEd1
cXGEzIvpx8sAoEgZoLYpA0Aql/n3/TKyijRb8uU+XHAV+CG412eHCQ6yGRnyPDaNo40QaXl9tlSM
WKR8BQ7fH7Sh50PKoVrdZ+ATt/36u21KyZuOVnIb5em817XK+qaN8byzmJlVGyfXGaUUWQGxRpvA
+pkGgTm7jbDpmhHy58h1XzU1OCTNAomdjne09IyBOyWiA4BKe0CCi1irEFc+JtXsWSn65bEDSnJe
yOemnsYsAkdzWPd+ERsaE3jjtZ1VUnEoCV/ZUcXW7aWU1eOkDbT+BJFUJo11Y58nEkcX3Wlnh6Gf
jgk8fzEIEfM1TuUVklN0bVQt7tVwYWbl5SMQZlAnAB8ALhvKZo6K8tZGj+0OY52Q+NIp3rwJT/VR
bRvrCeTF8MgO8demL8tll4Qt4L8oM67ppqLvcDqibWHFXYHsMYGibHFwe0hGeO8yQ3/CKDE+IMOP
LyFSLIcucAH2TKQqbBhbiurRZjb+HVZ06vdGmQV5nECug7zxOZYo+/tG1sZ1V1cgNDhEpwi6h1Oy
+HOpxPDJDaOvgIL2PFrOCTOd3DA3WjxQv/ui1u7Vhc95luV4nMGBiLV/UuF9ILGNy6FAv9SBnPKQ
7Hs3EaepkNb9ULC1U2l7nZU0bndwYgb3nqAd/gqQHAnB4IMimH3QIWLsaslliuFfkRgyZBYUTLdu
o5DvNDhGrtbccNmLEo6PoOHZz4Ug5oPQZ6Zpm9NjCu8xYAeFYPBYWH7VZubGLoXyQO5gM5kz6zZU
3bkdW9jvDZEmaEeJfNZm1jMw8uo3zVBUr+B2093Irs5NRLm1B3bqfkJ2mK9DzSpfh1afkNyBNXmj
Zc33jZnUe5Z4U5jo7R7UZXyOy37eAm2vv7AKcTlNWmm9wedj3UIoriu9SU65wnVf6LX2dS5mFt4m
0tEhrA8tTeE8IKVmjNlYrdKm01sYquN5mfHYBFOuAMC2Gg6ScSq/gl7XN6PSAsCDaLcb85EYGGs5
tqxIcLcE9NLtIu3qQtJrVZEKevjQtLy6nV5za2lvkqq++j/sndl23EaWRX+o0SswA6/IRM5JMkmK
g16wRJHEDATGAPD1vdN2V0sqt131XvVQy/YShUwQiLhx7zn7DJ7Z73TYxKiqSYrxejpE7uzkp6YH
xj4PdBMtIJ8gjK3bYjSKXSRZ1gE1k/5t5lvhpjhckzfwWO9S928ZSnebsu6vAQFx6t7XxB6Yq0YK
nU6/dmRNhHxpFBnak4Z1NajnqUpXQg0ZZYTfLEcXQuzGJLjhnlOjKV4heHruYYy6iYAHScaWrAvr
kyILuqFtlvoTm1SznVSvf7i2ipvDQpoPR3ov99/HgRboZmnZjTprVA9+YbswaoflLDrtTAiYfU8x
OR8yP0sCU3T5qWtTn2oOVCsS+SydiSPRuyhQrW0+FrnOyKCjl1UVfrRWfXY0bencsCL0KDri8uTE
xgijMTbTF8lPnIxSI32NOnO5aXvSNwMpgDwVVNYPdYsUn/fVHqi9gLS2zTxecoxSNDpxQ5wtTe9p
2TvVYsCns8QaKi9T40mviodFdwwS5GBvvVZ5Up7MjjCPlV4a9o1ZU6EAmGZOS7FaIgGLnfoOSr3t
rLqyi5DT2Yp2dt608RLGi+A4n0cyeRZ5oh9bKVHNJcg8DrFLiWHh663zorwZBXEjJFKUZ2N03IvH
2MKkACPqd5WVVfkO8FF/ixE6gMPM3dch0Ye95/mQyByHkcuKjiczs6gCUgP5Dxs8gK2pWms1UI8w
WpT3CKoe5nOL0iWc0NbgLr3mMjQ2lGC/QNJMRvZaS3x9NWdRu2XV+gaaAsOCARQv8axkW9B0R2PY
bxMjvjMa+7PRx3gXVbW2nzBDrvJS2wuZ7Cw7vVlqqIqjI8t1kcX9g2AcEwIkI5/HJiE+x9e5Kqx8
q12PGK5b7rgRywoMZlVTG/JJDo5dfYqZW5LG2s5wJmYg6A8DjsjXkAlfIxYmefZbVawA+DwSJDgH
ehF/QbjlBhwH1QbTxC2n86v7zjubRtesS6HtzBQoPoeRNy0yGdNkgFDtK4gKCBEYvq99bRxjwdHM
7iCK9aSzrBfVzAHt/H7v5uUSlkofA9uJlnWUMgQ0q7Ff5dbA5xwZ2Dg+WihFSCWgacjX07dybNbd
kOwgySbr2qpul8HN7xQjrdBJxHLm3bO20ozQWyv8rkrNLXlNDIEPGREE95H08q0FrnMVN7TxGjEQ
7WSluEA0WZmbBX4WRak2j1sC1aMLtEg9WoHCn82V5g9eE7hF354c+sEMHgvur9cWLvx6DeamaY07
S3Ojp0E3hpcuq2S2StCKchLrnfQ4dTN81MUYx0uB1TEJnVj6T4VVTt96M46OHXwxe9dGMqCgsV9i
5rMoBuEgZysdMNl0YISd3jsynsrQMU2gcZNgKJv74plYluIBvCZdOI1+o9hqedEdkHv11KAeNGbh
jvLZsvoHc+ZRFL2HszO3jywwsOJT6e2mgvgICSKwcZQTkiZDNFHnI5oR44cxAxinOhXeDYxpb8cZ
C2VVImTxOjPUxqGDFCmo22j8ypuVrlJbwiUuy2Rb0p/bToRqhHbKEc4AKXvIFmPCeEuXgJapju/F
aOWRzDAaDCSYqCdEj8VrTY9tmzr9AILV7dwvHoWLBU6K9MkgQgmy/0/37V/pvukMz9E2/P/tt+NH
i8Tix/7bHz/yfw4XX8eMqdPpQr5w9VH+4XCxsLGYHnJy/WoiNX8Qs+sGiBAPqwKmPIil2OT/0YAD
EWKhOufvM/i7ru27f0td4VwtLD824FwE9TT/hCEEFgvT+UXMTsKCpvJcz8NrPrUT1ezwA0ly6YoG
yHCqMhIPIjEYR8dc6h1OkH5fl0hTSR6i740yon+2FP50YNxJ9uLIVtkrIap6jzwNHbjv5Z4LNquv
NrE9ercA0YBVjY6j0lNrN/V3a7l6/lHWtodBOEOLVCEl/TW2YNusCL1ykPdqVO/kx0gG6hl2oDXh
OoSlSBv4tzfSclx7ZtaqoC/MpKHMmqbqqLTc/SI4uuZhpRP8w5QBeXXXtMPBS4Tz3CzKeCZzmh0q
0dRtvfSYQceFap1BYnwYdc+hiMwTegJeMfgHQ2ez7yqy/oJCEykDOKuyxgP67EQQfRa12sEB5Pcg
KoWgLefkSszZjEw7yGPdp6SkQVutLeK2otvEpZse2snCmAY1AuqQrlGFunXot6GSdSzArEZktQWj
vtxygwTwKgx0N24FdsxSfqLwqk8G9JUuFOncnhjWCXtXJ0jtV2BFbOQtjAEfFM0gM4hyAjQ2fY8M
dMXEMfPXyteg8wImzL/nGpkb+xma0NWvm3MB8Nzei0i77DYHLrnjN2M9Ci8bOaJH801Uox9Htcva
lvpZO4UAlesvhmmS/7Ng24m2Tsw+KlsAeitrbKcngYfgkjfC+S7Iq0jDgZZXSY9x4tZ4sQcFQWVO
EQ52Zzw3Qzo8ezGc4Y0q0PUiLwFhsLJctzlm5VA9MKPiaJ95DWup7HVN7a2pxyDEaXaiXOAKa7sX
YxkyNDXvM+beO3AT6aUrrb4ORnpA33WRsJGRYTMT5+cb6iYrxuTo06pZx4PufFhVwpwwWuw2XkWj
P3ELosXfW6OWYaG0UyNaD67S+XO687VxB3NADirMfIWEHtGrU1rSoj9sLHgaJg3HFZkWkViDT1yw
AIwDMNAqTtoAUmh36Oj25GtLckgD9yhTOxASZbijLxN5nItdRYCvpemvSpkj7jC8ZtjQJveyjSAR
6FLCkEWbOedqk098sYDBdKsHHD1IN40NNuGrwOB9SDm97NGbihWq26FdO0VWVw6EwcRjazP78sH3
SULs3MHDLkLCB4EfQYfF9EkuPlnyBFBVQ6voh9GFlEdhMASnStkVM+PmnehE9kQkn9ha1byEbmot
p9jvgKomkEabyYgaTKrKVeeZ7rh+0du0fmoVjTSORTvdHtWw8lFaZgfLL6uH6xC9LzqqCwKrOmLt
Wp4UQI32mSYvWRO9V3Fuin0zIbgCdYp8M7tyORmjPvqrnIPncEBGi5DatrxGWzUz2hgE5vOVojsS
rNUC0kFWgYo3y9O3iKS5e4X8/y0vVCPXUJGRqaqZ5KrblHkpw3RemWHjcyIQa8VMUkNn7Pemt4cQ
Pyy3JpmVy1nTtOypn3FWBI3JXGKD1GfmJGknxoCFBsW16QVRh7MjiAHmbjytab7VkzzSVgXKS+Ni
IsMiQGdnrqQ9YJG3bb5t8F+29GcxyKEJmYDIu84YeyD0Mt/8Z3P/VzZ3F6U62JG/2t639U97+z9+
4o/dnXEY+6fQdQSUDkix/9vdzf92bPIPQSNYV33kNU3+j/Gabl+trQ5bOF4k12TX/cfurl9rAjgF
WNXAk/iO5/07uzuSzp/29usHE6C/ELRQePyu0flBg2O4rNR2oVSYxXg8J5UsGO17grL1pA60MpsO
P9yZP1H9XNECP9YSv1+PCzLME9yPq3Huh+sVMUdWpxAqXKwOQK0Vf44LesVZoYz86ysZv8WS/3It
xu1w0nwYB64tfsEIgEbkZUkSFRr61X9HcDwt0zjR93TC5DmP4vE8ECC4LWByruOm9d+doh7vumrK
9yU5AmXQaDkC+Rk6WZAPnZUz3YjbZ6sg2YA5HSIY0m50qhKje5vVYkerTkdchNnOS+iILsWE4NKs
P7SIUBnHy5HIY4AdNzhYG/3YWy0pF9fkH+RBSwSHx7U+SMiow85T9IKhpQ2fwwSzKnbQ2ucVdIY6
KpY7QKI0YvqG/ienL/qO9OcvmbNox0b4Ytw1gMnBOCc+H2WANvxMgblwRk0aElDSGJdMQFCDa5EQ
qblbuZh4YEG+a81q8BUKDdZ1AyOvO7afILkhjnfO3o15Huj0EqXrVqdqdh6BgOVynUPOOCyxthxT
4mDvpqk4TYnRh5jhRiyP8kUrEzqEwrhk1lJtq6sKaAKVm/pkJTV0eFcmSOMT8Z4J3Gxa8cSFwKrR
/SJZaw4+qZS5WqhrE7OouXtJKUbBMliQpZu0Dpi8elho3Ju+yjJowkwpk1yuTFrKITIjpFbVvM1j
47qjMObV7kk2XpOog+KdpOkt5lFrXSCxMWgZsDOYXL5F9yn0+LPKUBDbQ8Y/JDOHcFXvkGYRHlyg
n6SQEmvH4uKGU4r16ImLGiBgDzR3VnoVf4sNDGIVDm9Cy95UxKOud/ierErbpkpcapJ/vOsdzc3E
X9PEfuh1FPnQp98Bt5/0nGQqslRXRKRuhSSYKAWTgqbYvDC/Iim31N8zp9yQn0Iw39Bv0Zd+CoNC
GFnxi82/jJF3QybuJ1XmqezjQ8zscpWP0RWS3TzErbPVbLCe83hMonzbm9opKRB6sJXw3E3XxLQm
apr4lJmWEpTUUXfb9PZNqtUvpFrD62NwEZiqOAp/+nAGma3zifDdnKTVoJ2QFfkxkp6xV344mPQV
Fw9CdepTlA2Wd2PMSXxjRtMbcbvPU2w4IZ1eRocm02sn0h4jMybVCaESzQDsLhpzO8Ol/Mwj7AJO
TM8zr7dOa7zkwucLRFChIy5XKHZrRlqw93qSqEx3hcAQVBGpFqXg0g5iPXJFcdS19MJW/GIvSTn7
q6hWc6AVRRdEJS8qPbTlsSe7mO3YfVSCb1q55WnEqIe2VdIhr+vwP5vrv7q5GuZfSle2JFuhjv3x
8HzdYH/7qX9ssFDaTHAxxDwbtG/4+34/PjseNgNbMO/5Y4fl5Pq/+hUM5LphQ5jkBMfh9upo+F9z
gvhvXafaErplGL/xHP+dDfZ6OP5xE2KTQ9/FaRzMODu9+wsfwjewY3VsBGFvs8YFC+KG54TG4d+Q
Z3/dxwUqWioJhDiug1Xjt73wh321Y2STqRiPqoMW4+soNG9DxhMoqbHPx21cynH719vrP0GErlfE
u2F5QghyiLzrJ/rhij4wezrTkRO6+uSXzJgES/igJYg02amqNYGS6YM3uNmuj1CzKkEYCBzn5Ws1
m/pWNH52IAXQPOiIpEN4DdnBnwt1Bti/nPQpl+e/+by/Vh7Xz3uttGwbMakr3F+6GBnD1FlNSD3y
qC7f1TjnSDV1/j8no3GdaawiKibYiY29fm8Ztb8Pk6ee5jiTW5uQzM+YJueXikQesmuX+vOvP57x
z88JH++qttKhZ/NM8jz+eDuhgwuZoTMKB2j353QBdEML8Gqu7VRynBkc48XSZY0S1JxCoYl4B0dg
gs7nertrFOuzMcfl7TwlR12Xe5FolylGcRNEzEIQZDRj/mpaDsY3+gZ3eBHrtyHWc9xtjbz/6+9i
XYu4n595JN0urxD1lQWG5ZfCy0sXFLuDaeO8KJLTjBBlpa6B72tGq8lBtSnqwtIUdqjVnXqvHFVH
uFcrn1TkEj7I5PjaZZim/hVsqakFul6hXNfsl4mxFja+s9uSv44Bbly5hRbfErw77vs6AXEcZ6/S
xlGQRvaLb/fmTU/CZ1VdM03TcSdnp9znCIVvgHsgAtYiUFFGokAnGcStbZKSMy99f5eAIw/SP0kI
51aK5N1zGJoEOgmWR9tp0DqQphwHCavREbscu0dmaH6/rklufvnre/lPRSyPLeNcm94fJhcTXd3P
zwXppERj4XsI9cgsb2uCjIhMRLHvGaRKmfqnlkHFHOZ0utoJvaTcDW2hPp2maN/IberPTaxGxLiN
4RKcXhRrV0PRHVQVOc3MGuRdndTdbkSdMx1jWc7v/qB0VA5RffSLSXvRzTw+XbXd+AUlsIU5FtPJ
yzFy94Mj/ubB0f/kJeDNvC7uwHptXoVfvqwn5EiwiRNi6B9v4tIgNYJba+0ly/qdNjv+pgGODOi8
WC5t48VHU9p0qnD1yp2OCeoL4rD5g/mu+P7Xv4c/WV89DiyYb/kfucnX1eWH1a6I5xJOh7JRVhh4
Vdr6Mxmhbvb5tCY27G8OSX9yGziQGQbKHtPTWdJ/vljN/qC8+ZqcO3fui2DcfX2L/46O/CcL4k9X
+eUtLTzQbt01Ni430/RDgKFBoF9p4Cv66u94g3+yItDfZo9mR/U48v5y+3gkMymZzYW4bY2jqZXL
++I0zslqTXGPl5Rlt2I0x6mDzvCdT0zH+q9/f39yS+mUA2bm4GnTrv/1lmoKjVli22HRu+OTrtBH
T9Hi/s0ujG/x55XP9nQKBxs7IqZGAbru59+cwZLrzUXmhLiB7yV+DirPeQtY8zJBTvfT26kyV0Ch
3q+QoiEpcDzpBXKtpfaw5hJ95Q945vrEQlmIYmjrxow67em+MyT5UXBkQskBLhBDspcWE6PA9Jd2
Xarm4wri+Otb9uvzYdNmuMpegE3717qKFsSPjzxkBpSTTuuGDdvOCgGRFzjzGK8Xp9b+5rfzT7cN
M+h142N8jaIYB93Pl0qWyKCHyIHNLZz4EM1oSFyxjMe4rYqNiQBzx632/+ailIK/vtUQf1hvKJdY
WV2b8uzn6yqm4wBhVBSOhXrkPFuHZuy1mFcm9UKKK9kE+gRBJ073xNa+QjPJNq6ajW9ZbOhBL5Ij
tQ9Te+YXZuTcdVJeE3PMKwtMbgtoC8Bj0tfI6F7rUd+mnCEDlEsd/q0InUtBw9lV097OMbO0bifu
fDruIH3REaeckMgJJJotFbPYtHpkn706mtZ0+E8Sx/fGpVcT+JFBkKMsL0ODjrlqYskLdD+79JpH
djrLeyA3abhdnG+WXN4rsXS31VJihbXt+AVB/3CrNZmxURlMw2jJoCo3pHK1nUtThHhYwb8X2euM
gGU9DWmFz27qxnejALphJRZDi7I3rdcpNUg9EuWjlONd620HvifGFv17lJIaZROyF6QaaWV0LNOF
GYzdbsBgMHZJfcnI1C5XxoxTF8hIfqdPToRMJGv6UKdjEODmMz7ISPbOJaOPTarHOhPuHOiFr49R
iPXGLYGOmPlXVDsqTGneAKsHWF44DwxQ63XfkAEFZH6wIPIQCX0kiMe6RMnYoFFDcmCK0K8nRiMV
ftfCJLIXfBvyF9rr/Wz4n7NiIK+GRzotHxnV5VNqIO82F1K6iHt/LpPm0MGJ3HQ0Yc4RjYSnJsvM
y5i3NhFlsi75uwpE1/7iE+fZXEp/eZpi9BJj7pJbJmk2J0MMCzz3Jkw6RCfettOCOBP+9x26y/Id
IVF3O7QAa4IoiT+9sfe3aDO7nWAgcKGtoL9UjSyeVWpu0QnWeCdpQN3VdSkvTLBptkxIk0h5NBp4
MNlI1GW89Bczmocv0sDb0hDe+IjtV24lJMYbTWKQXSagdTmF1s2Q4a/MGA6udWjTXNmRNxHa4zBX
EwYShG7fMPy2oDNr+4YpdLNO+O3tmPX0l2Qo3trRnd+y6zdUwta2zLfvRGxtl/qRlqnOkHC+baL5
HGlut81EpvY1pJPvUaQnjwQTA3ljckQB7hEa2tCN09xiWfd9068XECsBoZD2xW1UAhmiXtZCzjgf
57b6JNJu2mijNR9K2Za3le19JI39WkFxRfGvE9oatITUPDMXr9FuKS0ghQqcjonobuiSZU8Pjnzk
Nn5uZfeMt5LGU2/r7VsBauIp9nJnV/pNufXNuQ5lhLaTk093asuWTDqMWLusJfG11bw4tE0+FF3Y
6slqK+2c8qkwNkb84by6Z4Wddk3ZqL3em07In4q3dGVPUTd+mDbGr3pCugOTnawpYU6rLE34Axr2
5XEidHqEPLPJGSHfRh2BkqQIew/mML91UDvvC+gstzYMcRobiEAtIl/3RWnfLVKYlwG/bxGgosG0
2KmrFZt0M1/vk03iK0Ur0ESSUMuTm43YlUyHedFMK8/G4PylN3/rXcnlKARGLbtuwAXZrI621c1s
EA3sXD3JvnVDNZzG2FY3NDiLiz3XCp2wVoYajId1UmRbqHyvTVJ2m9jJmH5qBaYNgcJ49Mf1RP/5
BlkTKkhtMr4TNkHmldfgSvMTgaE7bu4MrQSmGHG0czZmaT2ZUWOzBsZZGyZJBR8kv9V6McBRm496
OaKJJP05zx6hIFZ8Y5lfTDHpq2JOjXexTAVh2hmVvqeQv2Sd4XpBu2Bhprd12zJ2XVdEI++ayXwA
XbWyK8vAfBkRreACuF7kEBKE90ZO9THR7TVCorcqRXWX4lbcKukQRq+JBzxo6y6ZxnNlj9GJGOAM
RBcqvJce9s1aNqqKvsYcz8YgiUoXbfWM7V8u7bHXe6z6wANA98S4LJl+9gYQNIKYF/ImidEEt90O
K7KcKw2lUGVtHN8itltFB8qOelsz6z7WpjbeaTpi6lRUFYLFWhLy3NX3ltNcklyfA1Qj2jc8evW3
pRX5Vo9c7CR4PNCzWOkpjVqTiGFaYB1p8Zhp0gLMC7CAxJHJN1/XskPjiSFwHXbOFk0L74X0dyOR
jSs0ZhwHi5lBYlyXe2naGNpnu1kDRgO5hVQHGhqLd5a2l1b/JIzYhDxL3/cRdG1Fcz2RjJaL+d6J
c++Iano+uoubHdGkzSExsdFztfjzy1DQAybSVr8n87eh52yxFxKht7XaPv3KJHVZSatrNmPjueRf
w9NKE4wG+MXZbhOU29Bj1lNuxnd0dnocCkN9UvFsH/uxs0+RSVJ9Eo3i0cBqcSnS3ty3nfJOYD1h
UPpZfCYzlX/q/PGmcTOM2k32iGmH0TxT1h2PaAgw5s0r7WRTFdSLgdteVxc/ScDMF5K6f3EdgDWW
GZq03+Vwaws8Dp1T3aoCTRDJjF6/QlEdhdrguWezcer7fkntdzttyhfXqOyVpllPc2TZ6xqXLZVB
P24x/7d+0C99thUW7VLNcspDnzcOa5jVbiyXFEIypfGq4Jp40GyMARSmhT9uXGkn+8Z05UbMqJEL
vanXi1Xy4Ed9q8n1VDnWPotHVMCeePas3r3z+PmA4YV2qfysOC9p8473Qw9F3jLAxPVQPVTtcKMx
33U765Ncz0OcL/GdnfsOk07SS2DoZXvoa+IRmAfmZxOnKO2oMw7TcIyjFYVatGmjUkkaBHMSjtj/
b5XuD7d938VfOGICMq6KVN9gv3CSwO3G9gaabPTktq5+D+xOnI1egRJA3H+epql777AwlMHYJMmj
Inn4ThOW/WFOwv/upRjO8jTNQiPh53RMkuvWqRilAzsUZClk5hiwLszfDL9zT+XYzcxxzboKgYdU
97Jyq33SZONHgVNjCDJTk8eYPK1thyFSBq6e6iSlU5NkSe5769pmvx5p/zCYcSLG5kpabJVDEz1a
Uh/45ROAHHQKOtHcmFhxu4isl6tmYQnSziieatufXvBzFDG9brR20B3ok4cZ6DdG5XXm3xAsO26M
XFNrk8MQgc+RZr/GDVuQK6Pi1WEqjbFdY5adE04bKFX6Z79oJB9eIImmnslIYZdaw7Sm0ZbbiZxa
Sqa2k7cSY/U5G7N7pMZvlps9D6U1bDD2GgdoR/EOFP4L0Zm80Ch2V3OSt7sB6VBolFe30HW7EYaL
D8Rvl+baIiItEp7WWhbecAK5gp44GpKNCz7lUDKNwrdfRtN+TMikQfoI0d7HeQQPQEfOWAawurOj
NqXyqZqW4xC9Ax+695Tx2HrjN51RvjfHX+28e0kMy9qVsVZeGvK7d50gxQiWhXsqRi/v1wUQlHUt
dGhZNXjemxIhBsYhYmfLQht0WlFA0jPPJovabvsHrcvztV57OPosaQw3eZUi6+4c2/42qcoDqqGM
4a6J7PhS+NNDNJXmDiFm9QqwY4FAgJ1oR2tJfYwQHx+W0m2281SjVpXS3YGfAvIEz3N+H4i1pvkK
4jO2nAgulCm3vMleswJBiF43U7uRedZrVfeQGfXBC506rqZV7B/MKpcXPOQ+GlWfwNoRAdXetSv1
hCKWTcfzRiDoaczYlDQGzqyommYSaJ30k5+pwqItF4mGSXPYWJ02scAWd9ohV1fBAqa3Wxf9YRJa
tFrD1vAZoViJZgeY5gnezRJ3m/miZ8m1anOlp4a2qTqwINpEnBHGptb7gnq2fuXALo60KOpt6xk+
L/fgbxlcYtmIloueqdWIJuS9p+m4mcxefOMdNsLZxOacD95yp41iCCfXJ6yEuSNmJHSpZ5EAoQvE
1ObnguD225biA7lVjtpKL+rtEHlgCxm/H8vY+0L+98Eou/ptGeJ0S1J78oDWp35YbPgqgwSPkZJM
zaHOdy6+b4iviV3490NuGGfDFcyvEAB/vy6FX8u4Th5ASDQ2/zFHdZ3B5pKZ5n8hj61/dHMkz+uh
T7+zsBQ3yaimL0rMabZO3bze6EBlv5Iw2vAdknyXII06FX0a3+hLTPh0O9UH/CzmXsZDf5OCcGRy
ZsTPoHYjrAcxhFIMJEdFAv2xpGB7BhxgAvoBq7ql5pH4EUdYzUAX/F0zuiNSniFJb+kMjk+5RWcQ
XUt5qJHk+Nj7VHcRXeLSTllAA1TUa0en6J0PpTcGmP6sSi8mj+qF8O0Z6pumDGNvu5yPk4LT5C5v
acrCFlPFBtdHtUsqlT13Xdm+Nuj39NAUDA6CulkECuRYZV8G1BVrw5vh25Ra20FLKjnYeHEpTk0y
JjeaI6pQt2u5G6N2DDRTJwRgTsjOkPCDCHsvAO9i9cOg6c1Pml5VX7RUQ6NYeDZu/iXicFj1N7k7
YesnuTbwxnzYSb4CyH1PVp/8q+WsFLP/NsxnDwGArzXMOqbYs++1BIuG22ZUIZEBbR9GUfdF73Ua
pgKLDFr8tPleyGgKxwVMnz6WYGE0Cp4bZIHjN4Kus9fK1qo2jHSbRJK6slR6j3ah30K7odj9PS28
JuM9aOP5ni9KC122k8ahCmc0mzr5a65T7nJTE+ZTGUXd5wgCg6M1ncPqYFilY604GNjq6M8psWtL
pLsgl+a8VWsqaU27RelP7Dj8ueJqDrJfhnIqd3gwzPtiMf1dqqUozsux7jEsgjesedtt6YWcMxWO
IoU0qlmWAWVxnvqkLlQwLvp6vPJnF08CnGpn40R77xpYntoMqrwazpStgEgSClATV+p3X9LRJjhX
w9qnGijdneZNn4v00QBy9laHRavLN1uXVztdwRY5s8MCSVKjeSrdcnk2Kqv7BJbjnMVia+989eZ1
iBQIFy+S/YGtkGXgxyh0mKjzTVc7QHs9glM3ow0miW5YzHo+loVaj2YBpiWq5W06+uKGYPXs6+9p
6a5qvLcsa3O66yzczw0K3zz0THXM+gTIpFJa1QS+cuRr15DnUWBGe2GkxHs1FjAVnLR+qJjTn6LW
jvON5plvhUEDShG5bvUWwxP6mdtr7nqeq5GbTQssqBYtvk9nt3ichqnfmELGRwny8BaVBCy9rB1a
N8B23G3maun3c9kYoYTh0OPkqttnKO/jLmP7eorzGBOm5yVOFiBW7A6Ee+XfasqlUEFu2PGqxljA
Bv1OdpmGEDPvK6QWxImDr5r6COjKNEfd2nYTdslpXM5YsjkYcBp+M+zG29NdjY/GOH10+vjRdtoX
wREA3HSq700d87tXm9bGUiyhJFcMT2DI4gOcDP+U4R76GN2SWPKlTucbOlvsDCWFdeBphjsAcdev
OfIpaUyT1D46ePcEnLvmZ2fYqvt+vQQ+XEfBoZ8SK7FDxxgFEoQx5WjvMM6ckVbOViB1krShVzlY
kSKO4MuT3bYj88AFAiU+BnguHsbHKXLvRoLsQWvXG5uvFa0xa3R0dHJzOI49IVCtslC7NvOr4G+B
OqwhK+Fgkm+dfp7In4u9ad3OGGMH+nDx1i+vnmpP3eIJMl/ICOabsw1facn9nhlXHdJdMp/YnVaW
hmgnyKLZvtH0Sa2oZa7E3twDJbWcE3jgRx9T2CrC0vc+FxPtthK4XSQ562oTQg2zUT2u5wota002
KbdQt/cdJW0McwRxa9BPbMl9bkwIKhZtW4sO02CLfzuIB0PeIJqpNsJq3X3tGrEIWOl0ItkAzdDK
uCqFMwhTKy2b9ove3ZdRm9wRXU6wnUbWo+sM5jkCf9RnPIezM18h2l497/iN92oF+IChq6d4YhP/
WI/+i9JM9ylZHOeQz61cwaDTac2S+2Gz9x6GzDHPYGMc4C1p8zLqTnaEUVSuKA5kaEyjWqUjCbiE
eKjzpDys4r3Q5hAhKNO6ivPVxSVEe4NfYzy2rp9+j9uFDbiI2pVpM0bLSW78Ujp2/hjHw3KvabH7
xLweFjI0nDIKrKExQy8WNfmKmW5eEWLXuIC0oAdbGA9EMEKynQG7cASSe30hOl7CLVy1qs1WV99n
tUITjnfJmsp0q6gl8WDX+N9S9EUrHNFRsvYTK6bcmsevLKNImR3NzvyNXytK+2jBXMwU2ltWc9fI
ctOl7nDfQ1nZFZT3Naup1yDOn4w0DnxbaZcUXOBNU9fRwWtKHFJ1W6yVsp3TZFXNTuV6tfEaYv3s
seMM1BXOuo0yeZdO9V1XmuYXfYqCqjW+prXzzSdDgdgcZ0oDKr4GoxA+n3UFNLWfi7MzRPYujhNx
L2sb3x/otkM5q+KcdvljlfgGPqgxwZtl6A9ua1mPQ15He1zCS6g140NE5BiLtKPu8TKK3VDY+c3E
Tkq2aXXNjxjuI3h4D87/cHcmy5Eja3Z+FZnW8muAY3Bg0ZtAjIwIzmSS3MCYyUzM8+TA0+sDb3fr
3pJJbW0mLaRNmZVVZSYzBof/5z/nO0tRHLoeq5EsUJkRdK3rVNoEAt263w8dTTUsQ94HrzXORpSL
gw6L05i36jCQENqmcf+nZ1r5monN0cCog7W3PdAOxriRzVeW1MXJkFW+a6AfQM/p0IZCEml8wq0I
9PUSPxPe3y/sYy0QDifIf3JnzN0vG4fxOZom684beqLobYZVaCM4SUv0J7JSxrCvMkM0uNKlt5PO
XeOsruU+q0fKUbthn5Jrijc9q+WaJov87LW4RWqx89PydkzE8F74ztfgiegARdI8zSX8A3iw7gOQ
q6Dq3Itc+qOAwLyp+sg+wzK7Q/ut2B0UhypOHyrhGD/jepk4mhiH5YQX3dfjfEYAe8koiI9qgzKn
OQ5kAvYiGof6ZBFYjUoaQPpW519WD2Qos9qPZYkuVKtAnIySip4RU0YFyGlP8jgQzr5e8XaLk5yU
nLsa9gZIyk1fssni6qHODma+AJQuQQrs4QALnHLnmZD2w3WcgLClP0qYoiRGM3trVS5D+6D3EWfu
1gBTPhIOdn5WRWk/uU1ETVgE3Y/KNAG5wZ7THs/5DM2BqSK+cUSSuQeyos57O5oi+sQNnvH1bGuX
udc3n6EtEQyeRtS2bB53Gd/bOmCW3i2eN/tACGukjBbaSSjs8Kmp8fIng1/5B+XJE5mcbeQRM6e7
iPQmfLRpPo5qST5DFfJUVCkfKZB6VfoskiVl5Whi9/uMEloZNybonMBowKGc3YT5JIgyF7wIPYvZ
gx8pxzqxzsYCOA/sR1jQQkp2RnBTmdbB1Eg0UbdP6IfkeUjXX7yepz6BbLhSj+k0Zk9Db3Pacm6U
Bytd0DSnsCT24QIAe6/LfPicK+l8ZSqjT832B0IWPvfmjrkukJXO9wsQgMBrZrM/ptQbgEHkrWYY
HJkWiY2KB0+0bwjFLShv0i0b3asbsHBo+IT4yMhBY1jyWxfUOfNvc2el8tQV9WeMvZ4fdLqD0wfj
uQTkFZ27lOIL25xmGj2jMqJFwezoKszj97BJGyZiuhy6yLiomdS8o4dtNMv6mNP+wHZpJiSX+oex
8D/GaHx0Gv2GXVHjAAy5ZqRAuE6a8GDkRT3xg7a69S3iEm7LB71IEBsjXMKYbMzhkWd3yRMyQyVL
87rYMQYwqfbCJkORL2PxexmdPGghFQdce04lXIFNr0JmJmplcJm4bKUoxJye/KrsX6KhXuBzW4jU
udPcphgYjDy7dpYId6ZW5tb0YkSKrgrDN+aFwtjhSmu2KrOW01hZ/Udipl0RtDCUz0vfkZYZIcxw
8U1YCzc9D92CQgtWFYGHXjCnkX+cDUCJBqOO5PwpqlsjL52nhgAnFy3008QgiE7Y/70DtXaY19Qi
2qq+JpXTbiWk0LdZMbUVAasslA1Q9Mmd2xZv02RaD9FihtG+6635ozaS7Agzbbrafu++AT8ke9qw
1uNKtDhBlc6+cdWEoMh5Kl4G/GDQU4suAsqPNPSL2ZQphCaL22SMaBrtef14JUWszB1J0fyFEY5u
obY9ZLMMqPwwzrYv2Bd0Y/ZS9M2xHepp7xTTa99RiNJV0QsL5ENNn+oxZ5e0G5aWzuOZYPHWaR00
7lTcWRErRc6V5KWvVI5jpGYyGfmg4RQ12j/lktzWDeEMOwHOLdttCcps52YTj2yE/GAhWHLu43oX
S4tGBpw2w8aWdbT352JFsuOGcbckjH/KQTo1psZ6OhbMn29G6aOtunZzclLZfJEWNvBBST4gU9LS
S1w0/viUO6bUQWP22TGjHAlxbVEXiJDFi9Rg3g6QlYiuGDbMo3Ii4z6WbvQQN9ltr/B/AwFOQD02
rBxkkR916+fFtjWGlaVRTMvjopPyiPFs6rYy9uQRWgQUhrIaWCeQf3tLORV/LWZrBiXmmie3JtXE
vbBOzs5ic4Q5arzvM9ZmI6D/HeeGOOeJBLzrNZV9aiVBt8B1pux24h5zQzFBBJOyA+CyiWNN/cSS
V3zZe0PaROd5yQMhh9esA5TreYu3S9yxPUxUi3CtkydX1TwGp9g5OB03KDLNvbwywVWbuGWrOG6b
ZnkA1dClifhdERkOWgXqJltvvMTZkkf8etUtuPQBm3Se3qfL4h75Kln3BI+XVzuWakc+3SEXuFDi
5zj9Ri6dDJysIqGeUgLFLi+74HOCEaooToFQO505cXUAFMrbD5zSBxcX9mau2nUz1oTmjxy54SZk
C7SF2hcT3rbcx4H0NqSByvlFRlOFoHyrNS+Yams72I7YxJMAghcP0xYNydoaJOc3NWHJtzaJnSeT
z+dDXJt8lCKrR3dYqkcHqxYBYemSKrYAvXDIIlCN9skAqICaks3J1suc4ikhDHYYOrf/0YScdZUB
bP8wlTjbNrOR8jcuxBCPAQUVbJYiGJ2QMuJf9C3JdxKYyd0siaWzTqSTHaPipkotJ/AUZEppAPEj
WVytXMf5HAuPR05Ujbw7U9V4n2IS76VH/8aorCsF1Pd8oFDrUZOCgiab+1iYxbAd0nadHIjq6Vt/
YXVN0nzqhkPF4UmpdNuNRz7WDddHEKebqfDiE70z0Ytq4CyuD6LRgGudz5owuVJYBhb/Uo5mCAe5
aH/JCIgimnuorP6OIof5VBqaJF8mxhaGNn1Cm7hPwocIseiJT1fyIytr8w2YN7QBCDS7SDi0G1fh
cueWVQ5ObWC+DGdQ1H1uGm+4LvuXbJEIU14BWixdTPpKWtkE2Mai3360eNs6NLKd7y7zU+M39aWE
lAA52cp3rmq7m1ITeQT6NErWL+b3lDwE2iqbs0iZvmSU5zcONRMn0fswJ3iGrHXb3rzv4GHfIrT0
p4VY7WcWRe6r1XHRpnGgOHa0/KLDKvCfSZrszd7d5VIPX4K8yCmZJFRuJSfqn2NIo6AX9D2fyJwr
td2+gzdIf1n+ysCl5uFJKTmCo2Deqbcz62McDHQ9lBv8jfwzQyV5ngGNkMqD/6XBTffdk6mL7tbO
qsa5NbxyvOlnkwyoI6Zh5zBrHZskZoO+ZMb9bBHEZIYozCOQ53xXuz0eFbNG1fNT9RyOlryNa7iu
0lSINjkRTMvnq1dHHUtMb8lf4rbAQiKwUC1ddRWVeFGl+G1h7XwuatE8VoMd7gUtK+utFvu/nSSv
hmjHu3mI1LOls/EROEG1TdOHCal1L6F4vWWV2907pqXfRBj3O5qwh7NVJV5AhmagrqV+c7Pcus5i
vR9MRXZrZbY8l3lnHPIoLu4jACpB6IzZ1wi0ZN9MEmxpMSaMKganAwarI7MhDapNLfs4wP7hnHLV
NYcR1ut7QQAJsNi8yF+FJbiPdbUhNjn35HO6FjeUpMVI9lCQ1blwuqIaLhdBH6wRJWQ7mvPqU1G7
6D5uf2gtNdzUU1gB7TPNN8fPK85afioSTUlhPiC2JudxAVyDZpvyuypNP4WRnaIht+5r1XS7gmga
2I3SOw8mkkZa/iHysXc1z4wclseBa7TfbmbLbiAJxEZAxKU8Ni6qsetF71Bcv3Ap/fZQWwleqX0S
mnutsKg1cKMOdVP9ztyM7DftWWXS5ptiRaRks70FMQuAPLpMqnrVlJd7elGAS1kM0YxhsDcG+NAD
jTDt7Zgo85SP9RM9LkccQ4Eyxvg4p2UeQDrBgcBWqN9MmkWWBzS7LjqDyKs4LkZzk1s25J75Yjeo
37PpshHitzx2nk73dh/hR66XhGFyGNIPKM4tvWhRevVUkj3B3nOfnZKJsVqICLlFZR7+21IZ3BtZ
3e9AwkSfIo7tKyOwsV+8KDuUXdK9fJvz/k/3B/6/1AxoOWuG4H9NUTh+tvNn+U9RS/Pvv+bfMQpQ
xA1DKYfo5D92Air7b4ALXMPAWoi/EADAv+dALONv3CpcWrCxdRPBXAkL/5YDUX8jVWKsGAUYput/
+U9UAnKk4SX8R1M8VydiEnRkWLbhken8i8E/M2UssywukXSFd4ctcVJ72Gw8GEAIv0Wcge+OV+en
Ev0929DMDHpMYwEwsEIf21H6pxTTzJMPIaDcjkAvXysITm9yKtUtTV32S+KE3ZVDx0L2tdKfVSKs
W/xL+kQyOzq6BVZIgnhYC9eLpv2V6UUOm65hWUQgUz4zruItSERR/mGABrDnufkzJooVlWzImxWi
dt81Fr2ewCq3fYyVPqq9aMN1MX0tPAcJWXjhK6Sd9JqmxT4BqYncyK0BlRJAyYh/NE17cnMKb6OT
eTKwUsBsVe6FtCE6DXMCq8lbtlLlIemw7tk6y7dWMwCe8DS3mh5tm6K//nZAat/6obf1Ytw+rDOM
C5S0+srCRNzo3LAZDlbQPjfT/ciE+zTS/3ZFFll2qXLL20ba3SnKO3PH8Ts+5iUUHVx1TJ85zpVs
cG5DXPS3bqPHQ6MHWo8Z+gIaDUfoSNLeCdlk1Bpb7dFZ+Ut9W890b/TLJ8ouWmCSUuaWVwO37fVI
X1S+C9seSiQp4Jcwq/+UZV9jwuwBXwe6yKZ3o9fRa7+2xs5E4p59oPW/sbNzxtjeQgNp8t1GOrMW
T06uMWCXStgKrYoQbU72d8Gptyj9kc4NjPYstJP70sNdlLDNO/si1ru2xlEOAYs5ZlsNvr+dcc+g
kghLeIGwc2TTeljKC/Jq8cectXMMR1OyvqpMaDroahfsVQKepdM8sTTKt3aDoQX98c+s0/Jhifvq
RmjXumZ5RLc0JYw/gJBHu87zhx9qTJNXwGEUZzfiUbppfU7HSf5hK+9sCiOVepMOzVBt0mjWD1Km
X3HsfTiOCq91u5Bh0io8Y850tsNUrhDAlHorNG8L6pDCnHIdccc/xhUewWTp5htN0PUO19EBOyMN
K+A9NpOKxstIm9hnC1rjOLNNOkaJF1/auc4YzfKdjHR4JGuIMm4tlvsw+V51N/XTzCPV1TcEh533
2Gpdb5cto3jDk5K8RnWencpsmj5Y/hqfE5B/Zh5MCFXneefJarpt4rNfc52HRJvNozXqgq6KfPxM
raZ5dbQVH9pqsN7rsY5OyzBaM8/UkEVPhTJ6tQv4t/jCm/o26kiXb2zLJvIQc6OBHl/fOToB5ebV
9Y+QnVdH8ZwxHIl6MFgYjAB7WjAIDsA4AX9hm49YG8wIF3lh3cF7Bh+kY9SZ2Cgo5h2lOb2S2FI3
WLtmJEJRXRE+Qen2qbxLaNi51iW9MX3ctzfdqHC+ePAGyWvWtXvNWHCOO7onzN9h1pq/PXfuf5O/
bq5c4TQlOQUaQeBQO7obyxKLaNl14F0n15hekjYum4PJYiani2vIFPR3vN60mTBbhFbqnBtrpVQN
5ehcZamGXZXzYB0oDqFKTfWGs63p6vHWPGe964ktJ/uFXPBt75nsTvDfWO/KlgSgQ+1SVp452BY2
M5nlcIvtm2moTVyPbyfd8hdo/9WbZcdRAW4sGoDLj+UX0q6r2aFE8sNGfnIot+nid423w8admmGR
UcxWmIZzTDPvbBjAn8dYMF5MAzBb1pjTWwPuo7xJoGmy2RTVfBKYYctDX3gWNQlgvn7SWUDoundq
9TZgFvN2fu6hGK1kNaua10N7CmcORiCldAn2pd4PcpyHgyeNFUImffHuxjqXMME0WfrZ7LS+urij
qVxlWGfDgfh8O+W4eXdEq8iQ4WGHX9+JKW0PM0RTuNfSqZ4Yx7m3T4hKWGLDtvtptAu7twGBIz6z
n5X9Ux0bgi7OpdhTFkITvaIGjAxUU8xPRgRgI7BlNrwnbUSTdZEweG6mgcJaCvoQ3ShfctmBdk6Y
bcLcTLFJWXjFJJC9G9iV7sk0e0aBzkr0n1a45Q9E7I5rfzfnAf5rEJSZbvLHJFPhj2Hyu2vu238w
obQ4P/xHW2tKyxYngoqj88rdD0bh3wzOoD9mnNMIP8PoftiDgXsyKrL5ZLgRw3lC8OAQmaN6DNmu
ePcUSLJOne3CRFLFnrf3U6yUu1axkc9yv7dZOM7uBCyuSF/YDehzF87Rq2En7HwHyDQYfA2CSZPb
Tr/ZzwwENSbds/kmwgGSwLmKbOzUpsd1C7CkGJyTEDnf+5YvwlsNW/N5pg3yPBUKh39hlnwAK1Ih
8wEo73gIscG/DADcrlnhUNKSCSNNdqVbpm+INfzMKveKG9fu7HK7LAwdmw586g35r+YH/N/CPiUK
jH8QqgIYE8MVFbWt0eF0L3njhJWzQRVGxw/ojFH+1YiR6Kpu0uW2FCPfmJ4A1g8u2sOZM9T8NMx+
/jEBtzrl1PiiD6sl5ewtgQ1N/NasCSo9vJP+Xh66EajcBpMbIqbjiPeG7d5ZzsDKi7LnoUdrySFM
Sv+VskF2xrWfP9iWjrrtpB3aKHuruFIaQXlWFfLKcuj2d2looz8Ccuxfx9GeMYYnVvUhsqo++fDu
aS61auvJSbDbbTgVxU/ckDMeX2Q/DI54ZSlQDT2uCmCh88+EFQnNduOIzyPtZzKJKbWPzSFlinvr
ixaAY2mUv1XM9P+D6AgyUTtP6jG10jha0yG8kmuTBDvVKrv3YxOZqw9d2cFNwnwR9gCXvJTo+dTH
LA06bwq37ZRszXTJf/JewYxbtFe/Tl3PU2BE47dtc3nM2njdT1mQtTZRs87KGZm4B6EygI+yEcZr
nbKPDpbBVpeRFSoLGQQpQqJJ6w8XFUn4itngRv02jJ2e1XPGnz4pCUNLZnH4Fro6h3qhkbSSnFcV
h1X9OnTafeinhBI00ENwlVrqCE0gwNdFr0gJw7O7x8HM68fJQw5A4zPk3m1Nj288JfX4amf3gsuL
AgubJxyfDKq2jiIdzL1ZmQPr6TFLduli9NxoTQp2OqShO2BoaBWRV8rPxWQOFNgn6MmAtXzrtppX
xM+z5mIYmleotuvkaLJh/8yS3PpF0xw/VuSn/avPvpzXN57jrbJV9AvyWn50IXW9JqwyDvEC+qcT
PYWFMECu+Uzxz5bEzXJIp9Q58qRFQytcExB2kUL6xj3d+ZcQq/NZ2z2qGqjqHmdWEncfLOTxw+dl
Z/3Ja7/4HQ6pdeOEIvrJEmVmxUDJygWa721MA/FpRqCfN/9XxsH//+rk6d31JAPV/25wfOl7EAJZ
/NeSw//xa/8+QHrm3wxbetT5rilPhkXGxH/l8NF2QZhWkkhRbBGYEf8VI2CZTJaKpKZHeA2YgM0P
8m/jo/c3/gPzJgFouHnrr/pPzI+uWrNo/zQ/WtB5TIY0l8y9bxt/zciFtF47lisPUeoU+YEH1rQE
hlMJ4mrK+ezmUD4gkdDYVGcG28QFkyeysCv3lt31+8khVOLzVAUDwoMp5MIdxPULd376SlksKpU5
25jc8En19fgzTob+xEOF+0raRyIJ/KW0IH95znLCB+hlCMKJ8cgD3NqXeGC4UXIm5Y3NurAc+Cnc
NXWeuoDBjGyiIr5uf0ftSMWdygj1+sV6pgBFvCUonlwiD2v4LKENCzU0+0Ja2Eb7Itl1ferRXWH6
gR8vLYNrKg5xavlf6frV3DgN4Tgwvfahmgfjie9+cpfVbsMGR6ptgdDHBNVPyw2BB8CnPoYMuSiy
OhYdtskmlnAbPfZwnFZkUQqPKnYW33M2BbE94lggdvTAlSnauk1d3Y+eXf80irxB5mTiXNwPZsYr
JiVqQuz8uMz5ZRzVeXHmh1iwl3Hs4V6V2VXwzm1J6OPXgjRLlro9YZHFvlUJN6fQVRT1tfYAGW9j
eArPvUN2ghTGCBTOtJMHWaXnNgM+UnuFvWWLy63cw8xDXH0GvND7rTEScJPVJ8PcfJ3blvKGVEOw
xXd3v7DZxKonhfuc24jqmBS7o3YFGzqoqojWUFO3s9dntBP5ZnZyC62OY9ewSouG8WW0HJdTNnKw
uell7DaWMC+G8sSp4qnzq8MTEJADkWTdeMZtBtZTPyZa7M+lHCZQpDFzs8srsguhNX8lLvtig0/l
0Y+rlaPjoIcYGMA+uFe6d6pCF0ZjT3+2dfUON1mxD1/UAUNw9ljQu3kP/NV9rbCNbmpuUhfK1tSF
oq8IO5Qbb9uO/goSYZfR0CVgZUscfWPKDgC15YMSbA4Q02lZoryYTzSe77V9abj1sNNec01HyybH
CBWYqjAv89JWMymmVL32CukmwGdGO3GTzE86QVQh7GXeSzMf7B0G6fETpWq6CbPVZbl06WHMlv5j
KkKCXKXfHdGtrOfO8KjG8KZqYuudth+5GzZtkKVAJ4MRG1Zz6wPGxkA5YXHdAv9CEGdtQT4bW88u
nMi4CwLnJI0Ef0zpuNP96LrFq10J2JY8y2gizrSK8ctIZeNHsKrzEmGxt7qRSsZUkhdJDJJiq4CG
10Umt2ns+BtvsfP7CQ/pZXR94x4gPgAfqZz5yV8q6giyvqPnojGrX4Yvozujh9a0kSbB0bFFKsa9
YFBmaiog3ywvh2Ayp8rkDy3TO7lY5TWkwOG+I+Oy60Ndgu4zc5bftj4qNLDm0IupfvCQq++ozKgv
MfueYKx7nEed8qy958xckX03Ty4yDeVeVdwpzLjTZ6Pt4wOomP5ClcJE00FefDh1PpExDSu8fXJ+
qena8wMHkvGz2RbypymX6hBODRzAuWmfHJrbt4mNnpXkZnKgeZXv1rxq+2GUTw9owvphdpwJp2TV
9iz3ldpypO7YSxxFY7RHVY0xvObQOPqZw84DusK96frFfQKQ7LURLl56z6h+T1aNBWPRlTyGiyee
6FqWWKul82qGjaDdvJ7oJiSHu0l6ldKV7vORLi3rD/x84iDmVL9St4IiX+v2NYkpcwCWNOBxIA25
s/Ds7lNqvg5rv/re6GJM8QulMw2ARrzQxNCfbFXAt4g9/PaWN83AvUvrEhXJcpgxvB3IOXkEbttl
G9G4cMJH6r+VolX7ppPDY+O34T3/Gq5ddOotmbAUFVELM1SWza10u+GWkqby56yAm9mmLD5olPU/
fK8o7gd3TA5SCxD2Syb5tLt4UcfWcgNPUE3TZjjJCJYWduBwi8L3l7O6GO1mO2HiOtmLWdzXjWbh
mCW/ZKu9wC27mzrmRq54qhVh9VFbS6PxyahHQJ4MdXqmZ0BFzw3czt9lZ0xbt7X0oUeex5I4yMbc
uTOBCgpMYlbNrU2Xp5gtN0LIs+pLrUQfLLaRYo3HQcMUzjfSoNvNSVEwCxQr23qjaOTGGRJxNauR
zAicMpVEVy1oAOao3plzUQZFWjRHSgTbXd+abWDqnOKLlggacQuKs/KbzMLWseE9KQC4DqUXyBij
U9an+Slm/8nfxYwIEGlc5nHbfqBUczIPlaINbrI0gGvDmZ7abplZKMtlJ5vJ2VOUNT6SGnMgnEaV
f9RmPe8K7r40N2gfkuoj0g6fm2Lo7o2O51k9WNkx9GX9s/Hw9+ual4eySee5wFjOJxYYTdzV1nau
wnprdiU5yklCDFuWozvq5VBOMn/DJviV8dCiu+Az1qo7TkW+41URx56VdY+jEYd3eEKarwJtC+ux
o4P5xk4r48meRwi6dD5oqLflzDbec4BwObDot26pzT1lU6DipCH+6LB1b0x8zK98P5qL8urhaC09
gNJoqL6KvhiPnqzVTS/r5bONnWxjxOV9CD1/rU0Gej8W4RNvQMFrKsm5Nxn1sZ6codV1TXxrRhQe
8j9i6uo0JfUs7O9zqzQuXZJgghmNcTfGmOQCg+mw3k+SFmbp9qgvjKH+n0Kwpg2F8PdTltn0EKAV
4pfypmRHl7FrH9wywTQEAu4RF1tEK7SGdF5qPWDl6VD9D8Ivq0fuF0l5zSMh4q0ocmYijoEgPhm4
IbythGs73flatzf4tfIHNNDkd8GJM29iLM9BrhtaSwjrvlhFke5SrruBl5nmc6dG6o0lpnD+XREt
ojZpjylL4VFMDOrlDXZznkyORpHI3aCm+rGbpjv89qhdEP91253aSlfbQSN0wdHNELZxR+JqjQLi
j/prSrT+M9XyqyP1/6HQON169V07dlTd+SJyKdAZcHDQDBOUlTVdlMXir6mN8bzYGG6qEI+y6uIC
UD2Pp84YrBur8Z7lMtFVij10JwfhbUNGUJxASCV5DbXAyZ1yH3dDck7LkhyCGeJ+ribx1Gf4XSfH
dBGj6Pp00zn88qzG2vMdjQ5lvFi8DUPxTMjOvSaWF90bRawP3TL2e/oTzIDuSPcpAql8sUoenUEq
V5+s3ecgg0YI7LNQxBBgw59arZqfZjrqnSfq8L5IWtKfU6VwpvDgrLrUuQVZnQUiD60dUQtYC7lF
4eTklUghSaIJfOZ0RQKCEBXuy0mRLzXifYq5LOJ2NQkG88o+K68dd2arSalp13wKex/iUW041wGc
7ZF2rAzD1GS+9m2Emi+JVmbuOJ2SPKzuFbFZczNQNod+YIjkzSEUcGymrH40LKvHkZREd6hXdMmo
xX7lQUcTt9t6TAekRXY2buobfFveUYX9wNFCIsYroTK4nYNfKysLvO6lQROAksclY7PtN7O9V2lo
nMqxNuFahz6PmrmECrhka9C01JfO6B8co2NJWlNOjWi08/L2h6DqizVGfDvOuElGMBdWVDkvtAXh
SPPadptUDC01Xo2gRvy8IZza79qQNu8NAeVphwsYoW0oBJahboCdXfT59GhkjvtswBLH0NCH/A1g
c7ZhF/4H6B5p/5VlYv5lTluZI/9AChJ4muAzJfFRT0NOEMmhvmL01Q1pfawATorroJzES+NL/eyZ
pv+GLlnfyZi4BPU3zXuYTOnOHrngAwCR0SEe5vpZw3nZG44gKq2yBIO+L+7LsSVx2HgJ1RM274AR
+DZXCRHK5A2zgBBcakqiAbIvD/Wo7J1dZmfPS8QvmkGirSV0dSfSvDti938dmm71m9TOLqTT900O
A72gZJGCdM2u0OHMlzZznFs7z7J97oAN2sIKIfoQK/XBTT06oO5DuUynT+xA90M/PNncUDYziuKW
oMGMhT+eH8giXcB3LJcE/AU3cA9d0TBbn7XEGMfungQDDX1G1Dpfsm9wsQsb428wF1wK14Rv9WPB
4ia3deJhk2tjd7ygcs1ka7ntbrDmuA9V1Y13Xb5QdYZAFNLym8nfzmAkX3WIfay2hdqhvcnHaslo
XiVgQRbKBQOC59492/0gjo7Mwm2XLlUTSI8aeTxvhv49dvoNMESzLwcn2dttkRMHacgMRcxObu1Y
G6tdkms4OR4utaLtyTU4ywIUdOx2aHjJ3ZKVPKHjUt6EzK/3iUFv8cbSY/LIF90/aV9PJ7JElAav
ZXFmMnd/6rjnKlhMk36GL+EQOOS+MGHMLQcVeKaA8r7es8fvK3f+ff1m5SLOPIW5lONC7Ha8kHJP
DI2YgjHF8Z213uSt70s9Ir95Y37f9I3U15wP3P8n4fUXf50JsnU6wOoHBIQCIITOiM11l04mVTx+
91ysA0b7PWugy/EGtesIYn1PI2wLitdiHVGK72klXAeXqaUhsnAnjMXx7Dc7a2gE9u2VjvI98njf
44+p2rI+9o3SGLVdkxZNx9/Ndk2Ors344PrrhiFyTPVZl4akPwBOh6Tv5N7WbXog3tch7q7z1tIs
TzVFHttc1I8CV/uxFrxgZK+rx2Iw7aBKuCmvFlixqbgK3yiNB2uMGdLsNuyB56ZIlLHHNYySDdiv
cWSYP2TjOAGbdwyFRFdeG94DAkXryJitw2P2PUdm5MKoPuhRChgyKXYk1fY9ebrfU6i/DqQ11JpD
sw6pwzqugpaPLg0TbL2Ossk61BbreMsPuQ66jLztOvzm6xjsrgOxt47Gjoi899LGJN3RHuOuA/Sw
jtLLOlRj+C4P3vekvaxDd7yO3/46iM/fMzm2JQssDIP6uI7s/Tq863WMp9WEiZ6245CCMcb8ZR34
Uw7pIsSQ1o+o9pvhWxnIVpFgWOUCZxUOJOnc/wDTZK/GiH8Svmxp+Lbpushvtkuv7D8fqB1cMYaE
RhxmjMI3ZZacevT6nTPDiwLCRe2dbzn3ht0Lc80xY+VMBucwSmW+dxiRyqCtVPQ101J3U+T2fBae
2d3D8fLfuBhUr5ZXX2AbdbvB8BeITdb02BY9WbVC1Bnv6Zrsn9WcHY2eoRPiQUphuAs5+abzqHrb
9TM/FY0+FO544cJ+mRZpLOmAnKPNsh5kkHE509Lv8w2XLWed/X3u0XWqaDrnMPwHcfP+76/MfyH3
cl8lZd/9y381VzDXP71g308gLtPwQCVumJWF9g9PIL+lapNeQe9QbNTT8ma9NZ/irXmcbrsHFkHl
ncj/A+zZ/wR85JlnGsDVTHhhHJXqL3/ihMBSYMsKD6PrhRByOirJWzudbzOdwCbhJl2f27npARxF
WfzTdJaeeGOY/VlMduCQd5JwT/npzHupuFHvltDiGS6rWhkHsNrix39n77x2JEfSLP0qjb1ngsoo
gJ29cLr2CA8PLW6IyIhIamlUxqffj1VZM1U50z3TwGAvFgP0RTUyM4S70+wX53xHdrXz4ID6zkjf
qJAQk3rhkfuBTWw/NVWDOoFQCTKzpgOVDOfT4mpzXO+un2aQl5SfDBsKENG20WyVHJvTggF5c8Y0
PMgxzA9DI7wdPibtkYVle9V3ZQYceECcmSOAOw0UxPcxis53jLlptgbjMK7TKWmf7Mhazq/CzJ//
3470FynZR4U2LYniTv6f//1TWrZ+797/8n82v4F6b/uvVt19yT7v/phSL3/zv/qHf/v6r+B+sQTp
ruXyef37Kq/1+2f7/jdG9X87v0fv7d/270Axkj/jf//tq/zUfVnfTAt5gGFgiKXTWnCjP8f25jee
Aj6XiLdAQJoeM/U/+L/6N9bKvu+J33KtFyDhH3N7/RszI8RiqHE8C7mU8U/N7X95FmHNoiwD5A/+
lx9E/wX/i+CJvU+Yh5sRyn2a4rK0YybW5pp7Yven1+k/eu5/rTwdHNq+AYnXhRUKDvmX7xVxYFW1
kOFGlBW6p+EO++9eZi7pZWI7+81rQYpiNz77NEHufBMVaJdi6yWPTPCn02nK661Tmvv/5Kda9hJ/
Po1++6ks0/aIlUFm5/Du/Pk0CoGw+U7RhJs6VjywzYHFBYJ20yWrsN3MTg1vpsCP42yX5Fs/GtZw
a8DWRmB3O5q3+vYf/0Dmb6/5Lz+RZwLWZFvCe/LvcgGK2K3JC4rCjZz7mJmZfYhgBN0xQAtvGIoT
vie0/KbOBwgDkzMfEYIWZAULtN6g+tBel29aWwqabyM/Wb0Xnmw7OdRuybFDdopVjm/u9JGjNRnw
vDlVeU14XJLBCmADrbAYmT32TEfbWFJn5oPNnep6oZcBqOS+JcakIUeuTrfoWtZpbl/7GXEhcXJ0
tLvRrO7msEAkbiPBGgLhqY2m90zL4P8h04uccNc31ZV0zH0CR6NpXxT5d1S5wTx818qT49KV4Ls+
Lpo1095n/tPQD89Dn+FVU+jv68k92N1TOPaQUTAJDNXOAtZVALGmwL6d7SPagTPYhABQScB0lmyx
8EgPts6AtfthDvB3vAflcoRzvJ3oQp0MOU1fdAvqQW21EcM82xlIkMESe9zb7fVA6c/ydHIRG9p8
TwgEyLa3Fqo0KZ4pCY5pIQJ2KQcjF+greopjEqC6PCANEnnaGKDm4+Xh2/iw1ZrxrmrFLe/nKtWs
fd+xDZ/HxdPEXDttAdl9j90bZpdXzENWCRLvkZmYrvvH2ubJHLyNnhaBltxnUP+19qxqd0u49jso
lo1tf2cc+SYlkI6BJTX6kMi/kVANfHVJ2nLvESVQeEie8VdGIaNR3Rc14kWoXm6hXauGd87t4ZLV
6XhnMhLuKGZBHnahf0GmVX1EVoNgo6550YqhJp8Syc8XFJv41pyj6t23EpfkY7E8NAQ8wC2OD+5o
37tGbz46mTlwoUX9K7keFTWaH+3GEfoJXks9ekL+gJMPhRl7jxJXnZmxYGIp3xf3Xqb6LTt2F4bP
rFlEhE8KbFDtTO+iJfq7xFgOM7UZousYv9GV1Vs3opXObTujmunMotn+9pz+dyuc//9baesGH3+L
KvfvX5LXX1FMopz6qxj6X//h7/eiT0IcoW0W2W2Guayg+ZK/34ueT7qMYMdt/FxO8yd/3IvONy4s
y2eW7DkWF9efLkbxTTd1/LemcMifcX33n7kYTeuX64pQO325FADkezZfbFmd//li6DFZeKIgJApc
oh2hW1wmyJ4FeXIp4+NP1L/5sXOmqT5wkjNPMBQwRWdEKbON/NB6BLRZHMrOIQ+7djKkl0WiYcFk
XTM1u0KLrUdf4kMKx1G/KTRNdBesxo4VuIxicO/Zdkp0V1URZakrD5uOjmPkoCSje/CocbTxwi56
kKhQ9dWgkY3W94b24Bs9xWPv9i+1DduhTD1/Y2DsxPHu3ekzxsXB0s9AA5AkZXWDWwbu2EcDOWsM
Ugu/IoVxFF3BWfNRHjIWuBLM13Hl24v8pc+9nT1j5nF7oJWNmbAvEtAjIjEv7hGV7E0sCwH8pwm0
cK6QqcaW/+BVvrcbjWxkj5z7QaoKkux9ZhpWW9RIk328NLEToIc26ydGSyN2erKliN0D/Gf4Ws0J
WCeq2FSURPqVaWJTOY7lOIDCyh0ELGVl05ySDTfukEoxapnGPEKlXjYTol5giPU60kArYYpL2QFF
hpJcL9Tdxi0lvq9u2shzyluk+YCbMGCE7T5Ll4VSXHvGfOj1zkmP4TD6SGcJ9Ro2yA3FvLWGOH8Z
clruW4+BirllBu55qzw2sWTitMT1xrZ1IPLMkcMOLWj8qVc42khDK/wdgDnjSYQMyteRHkVw0+UP
359OvTZiyi2JCq8W9S/IXG2vcTe/uIwx0MOGF3ICmDWCzkBrPAE+s4DkAMpPbo0k07eOTvtb5WE6
rRqhjztUdvLTKgZ3jzUyTnbJMCcGvDCdaZ1Tew+CMShaSrdyFC19593nhqauxpA0XhsF9DqRHbmj
LCTXnNfAf6sy3mXA4466i91nUSRv9MQ79q1iDjIb80NY0uJAuhBHx0ktlkekypSGfhN5fZBVUt4T
Bk86I6f5jRbBtR+zEYM+cmmSxPMWq01VxS77D6TnETq9Mb8Srumt+VrtWrFFvWphrJDMndrJA5/W
/oSD0EBTbFYKV5ifpAcVZXD3qrBfM0hxGMVH/SHCUHzje+Hw2vHewiOrQkMGkTkpdk8juszVrI3j
ukXvuwLm+zSxVrltFJauEfl14+vzU5EOyacwtXHTem59j8FZAmHoU173VO2cNGqAMHf2Idfm/hry
1lfV9zUeRmXi1p7Cbp9p5ADBrNayl1obnfuxUkYWGHHmvtWqM+RGh4N0GHOgqROblzXKWGvj4Efd
iIHkPL1hrzj77hi0E1bvggkNI8mUzMM2yvdwMY86jT0nTIG2Vuj9S6jL0VrJKL9EvgUJuE7LY6Ni
/2a5xOkVh7D7ncr9P9fig6q//uV/vX8WCdt22bXJR/eXrs9hbvmP7sTTe1vSsWZ/vRN//1c/G0Xv
m2D2hcfFIan493bwZ6Nof2PEJNi6osoFP77Euf68EA3vm82dRzuIBuk3j9C/doqGgSrMJGeVP7H5
D1qbP3rnn+0abTddePRV/QftG3fuX/skeOugyPEp+Xwl69cxF4sUrXYxfG6IMNgT0HjjMB9hc7gl
wWWthd3tUGU/0Fe1v0sH/+73RUTx63d2PCxOAhmyIwS/yy/OJIwNFhqdvCfb1W+/QttlhsjtCFND
DEZ0MPUZEW1C722x5dbmu0nWaEWhucxg5mT9w+aAZ/Cp+olgiczzXipPVSeAXQja0cvYxTqKyF9G
8628C1aTCZ0QVr2tJUKoyS1k2tkZ3KMWdc42kj7YhFJhuc3xYNN/tTeIs5w1EXkfqQ7FDvzNNsVp
FXRaDHm3KWlzC063SF8eZB2TPifNMgq+syaDxmuaBusMF9m45OSdnF2JrGHVTymmUi99iHyP7xeq
Se7Q5heoPaoN82WCr1J5nTF/QiHMkRuEk64mmriEfzwqlnkg9IYPy9Hsx86VhG/I3ohuEtdvr0RJ
r8LwPlyZToKRszZZbJqdSFcWUrIn1BP+nSPYFkJS5tqEN8hGvb8l3RF1V9XFL50eWSxEWlvbKnZl
FSpZ5u6jJrsf4WQypi8rn+zRKO38z44JP2il0QE32vr6I7JcyX8i5XLWYW3Fd7JqcIEgy14qfxMw
8grV+7jzdC8+UTVibYc7d2VyLwSWJpwzAin7Rk9mwI1cr+JCBJ4boCTXrxI5AReuJ1LeIjqMYGbu
hCW4waOLzYBVZg0Ge1fZ/XQ1pF63BW1SBovVe5sm3Xwqp6F+pEhy+6CpJUtQ1xLVE8oQqASd5hF0
zpWi7Xpv8KtLZFoVefR2Bt8hV32HVaNsisCWNVXTgL13zwAnqdHEL7dGboKVRXUedQwNIZZMMJ08
dcPfG+lxxtL4Ehql8oZZdblBv+5fmISzvNYHLWKWD/0xEJDXD70cwDV7ZZUSmTToVcYW2rR2duxS
31RRLZ6Egu+ymVPlhGt8EvA2p46CxGklXK4Kp+ghLCS6LRaW9XXfx91bU5p8kIi3fYEbFX+FnVt/
8MokdzIr/RtElyWBoIphwSax+/gFg2+CArtPoq2ZIqBfoVNl3m/2fJfZjA3wwZnfBSp37TegsDS9
c7qYU+yBGIlkSPHExOiBNgx0zC1ucnVvVqy6S4N92Xo0zG4GkNpAuV2y0D8AuiMMSaOxvh1Cw3+T
Hun1bcKrt7G9tgL4iisD/1/kPA0daGiXEnjakOhGgnzVyccx8nGcmDCg3pskpdhFPAP11GgxfjiQ
EnUUm43xpcnEuI+7ungC7xfeOpPlvpR9boK4tvJQW5ujBeU3JEV1hZQ/qzc93eZ95TT2RqqebJCI
ZANGQqmTybW0+sLaoubvSHRrc6IJnMk1V1HsOPMmZqa3M2ImNyxrZmM1dLCxlDsPwy7O4vYO1E+z
hNPp+WnOSMRdgX7jFMnAzaFWzEftRtV0AIGRedlTyoYBjbsOoQvVkYv8TW9L/IvCKvaox9G7Qrtm
+chuzD30ZcLvw9oZxUSdeullEW9czM4VfdD6gkiGuTTG2wTX0BNvKQTQ2imWhXbtoI102ntC4eO1
XdsjvHhR3KJHSzdzLR1nRQ/evFiS24TDTFevI73eG4c57yhkSrZVqCFAPmNI0PyABj3NVtFUd+Cn
vGKaKW/Hzgq6iZ9UA4LYR7igSEhOfS0whpJjYQhDUeEhmYfz2KFYy/U2hTQE6pJEvAFp0F43ffM1
6eQggqgXAkCVoZXQPJSO19M3+4uGdfXRwzZYBDIcXA+1Ymm/jACdPptoBjpWxAtFISEEDN6LSZpS
AMBxFgxQWhUdUG2gRHEtKzuDStDjS6WDf97Q0lrHanCieCdzq/PRXPS4SVRv8HS1rOxArjSphu+u
ncIAIkErN6VZhltZgslZjdIF9mahA1uPNaMT3GSL2YMPTsuCFnYIDNlKKzII6WBGgTwqdgZKSP6K
IWAlTS3A4VbWBf/Em49+OtQoDrwQuxtyLJd1NC6e1n2CZ1EcB3BVpxlvuMY9tzgNYsUNmpW9ei6I
ce/hVSfjmcAgr9wUGSf1XGbETKssbhqmObb7SeCycz9lJkGJOJgBMuHIBw3du+0P1Q/xbetYdRwk
RDxsBt0fz17BIpZfdAjQRxTPZRUtDG2vSoLU5dqJnKVDYyVyKswSiZHbyxPCYpji/OTvUMDP/RiH
q97VhVrNhmN+j0KRn+2wl2gogAdg1WLUhD2kRpS+DyOlj3hjvfBdjxQMmt6hZbmip8mxAjpD/Ew6
gc4b7eUJgZ/TRC9SG/xuUxirl8VR+cDxW18m+CW7SJ/Ua8X9fOVgu4SFnJv5K4nfvkVO5sx4K9Kd
GeBRisacPs9omJGqxWqLbrl9G3taedvVhnM4heZFdyWUbhJk2b8l86PgQfpguhpCLQOyuZ2qfGdC
9akDrwJgtmrBYX/OkIfqQDTSFYEPDQaIKBPT28Ru8PfgTKEjNbP8qkHP/Sr6OP4xZ2ER00g0+GMM
+Iu8cCmKdLA2BJsxE0bL1QRVFHovCuLsO7dLcusQojtxbEFnZu7Yt3O+rrqaPALa7sy90UOufHwx
sz3BgSgBn2pWa8M96sV6wjbFQ0CrNkktfW9MPzxXQ/UMOBa8DLIBQjaMKkgKHHVbCoNmBtqEIIlE
bdsB6WGx2G4UNrKgCG0GyfEEpr3glTCKULWbvtYQ8xem99GYnXUqYwyQq8llIE8YJnJlcLDOVW8b
rw0S5cdssuzvXmb6+d7V+ZhtfFxDzQotLVeV3bvdD8/R2M43vTv0GzsRDEKQU4bbxc+qAGoxBl3H
U5/ydFo9fqVxhOINkILecUNyfIYoGj5ydeoH234eu4ZPFJa3kkIIf11gg8bZt7mOPNubER2tuOCN
H20G8JBzOo9emLpiYNB6e7pxEvDna535xyZOyMNbgSc1sLVNhTomDTbLEHGWt0qEnRDm23o6WdpZ
92Y1ANuZkyTaW6Q5lYN4WaXv02hxCvhmUY0rA2rxfenVIMKjoaY2YXIzPtJY61zGmiRWQoWW5a/4
CDCCytJURdfK0q07vcxnb5uPDgv8ZM4RfPeQXg6dY7qfxAABH7QB0vk4qtum9gOrM5ytAJT9PE6s
4IU2U7G1YWysMhDUK8y8LW41hhUBIVkzQBVD+1BGVL+y2ik7UUIKIpk99WdvFXVesbUT7KmkEBFq
MmMCnerIvOlTD0ueI2IcEgMgFrGMJaZyH/liIoo59ezbFKXEZixKb2vKNt+4fmhz5Q7hRYUC2I8L
SmnrtcWHP5vGM59E68eYyHTTDonFE1a5/oUBVnuVxtPI5CPN3bvZUEm10dGs3WvKKK5RHfD68VA8
TfbIcZVbZOrsPJmq59D25INE3E3Ixywm5K1OJNntq7r/Afan/7DjgfkMllDEgpVFDx7ggvR+WB6j
Nmz64PvtWlVcsdK0YUfhtoIuTnZJZPIpRPg+lvHa6NX4I9FAxNVzU9yPM4fKqi7Dukd2qaAC4vcF
Kxh23WTuezyIHvmzkzqCCIBohQBioA/gptWzGO+XsIHacI2VTX4uqOaLdTang34Qbd5uIsNJ7usM
63uF7Xgzu9BI0R/PHvw/4rVG0xuDyk8tQjuafsQBUTpQ1PNw4L5XCepfN3b8hwoZPRKjUFEJclHm
DVlQAyK9ymhywCYwHUGp1w0Vkkaw/OPo2tWj0RXFlti+jFjJrNZP0zzFw6aTWBJYOsj8WfUevtAF
B/WVIXUkktkNqYpKDfUvjjuy7lcRK6cnxJj5w4iB4dMEYr4flWIqi2qifCnpjCs8vG36nkIc1Le0
seJmVBlyQ0src38FNtY4sdejPPRLf1kq4Na21sMY2hwOyMUhBFZVc9uSuDMEXcHHEEs2mF2n12hz
pN3qF8AHjXFCi81wUcFReHDL1lqNWv5V/payjT0GuUVrLOnbQ6Gl0V4sydy4b8WZwF9KyLjD0H9M
Ck8/IiHlAxfy5B+6VLQXCTxnkdDZBEzYgjZvmOp0l2A7w6cTQb/XqvTTceXicsAicKJLFrcQ40+G
N+ursakOhWnO5ynOINY7xbqj+dqgcIX7Yue7pAJdZxosWUd0OZIH4CYhbBQcbsfqMydko3IpP1pU
YjFDwi7b9GqmsZjhvpOf1JNvPepE/GAdKhujvB0xRl0K1RJtZVA1EsWg2pBvo+z8qiqNZKPBdFu5
ijE6aAbnxvKFZAOc7zH2G0FKfRnJbLyUTqs/6WWxGFPRfiEplM8lwOygS0znDh0HDvQ6VVtRTjdu
rCF3MEXvEFEw+Qfwlqz60PpGAyeUr8PiaJKTwfx5VbWJN2/0Ni8xO1b+cR6AIwdV6ANY5/D+8qS7
azwdYRu6vEs0AAzqhtJ/rbTBO7qxCdCkcaJPjws0wIhGc5ZX/BW7ByZYJ1hXN3zFTLvMLC9coFk1
2LyBAfoD42GdHUIIyXsEIPBgFTGYurDsV0yh673rxMNj7TbZW9jr8xiYutJ+DL1byjcrow2iAEgG
c1uGRKXv2pQMA05Sc1p3S2bLIenr/FMzuvZKkUGTEKLtc4Glk6FTDdT4xbb5QDWZsQxg6wi3c2t4
jBN7MQ70OHqNXbSHA8puwqBSWGfLnVl7WGpXVo0QBU+QNWZraiR5rH87djp+tNfOsREsTn2CEWya
ND4UAxgBgdKKNoFptoXDz6yIpQ9qt4dMapUGljR3NL5qkZjh2jb9TK09EBwHf/Anf0/KFGHzpAdQ
RGPMdr68COhZwiTnJEc5nlU6zUBJ9ZjCtDdSGM+FTUidja+CjAO72ne9Zd3ZnT4UqPt1jsTQA6Qa
gfomca2WaP2TwlVil2A5r4MU+am5cgZTv+rbGmBnN1A9dR5UFKxvU/eBDdvrfldB/M989D+Zj7Iu
1/+hsObSl+n79z+PVH/+k5/DUefbks9pLQtDz3B+YyT9HI5a30iCtHxMIr8LbP5tOGqZ31guumzv
fs/Q/tOy0P8mbNPQF32Nu7hpzX9qNuot2pU/azZ0l6WjadFn2oL//bosjCLwuAm93a7vB7lvjax/
R5he0z9a4cUiYA9Eo06egWZXp3LA0SmKclHme+nJ10sYG0w+nzyMLZ/YJUucUa62dQ08JuaYTict
K+PNbIOCb4UIjygkKZCm+d3p7UuFK5WqVa2cqTgBaaDtZau6cll+ABdJzhb2NOxWyRPK3c/Q7pnW
ieKYybrZIVU2lv47m7ZNjV5XmV5CMoprPOYi0TwMKHF+tGa7vIZ9Nt+UGA8/wGLT5niO851MsnjP
9xtval9pMOq0iDPQsaMnU6cRJziiDmzVJ+vWD7M31vP5mhiPZkcIDoUvdvj6c9Ct4WA3VfRsF3I8
aPgu1q5j0P2WxW1N3uU7maLdMcWvdBhbjyBh5OvQohdRnpQVbQs0kf4S59O01zKnPFURq0NVSDEx
EcGWE0OHeaScY/g4TfcJkOyzjLlHSZ2odlrhXky7HB6xyUZfTZ60LxhA7dtiIWMATPNh1zSkzLXQ
24k5Su6HtICqbKonaCrNJRZMjTicxaHntT51RZhANvDKp5Fh7C7RdbaQktwNPhpBiy/mHTJicsbj
hqikSVDWr6rRHe6JqSzOoLUZbIdeMCdZz6zWaV4cJrSQj1T94czhD5Uqb167/vQcM+9A+HzsWS9u
ktowbgeAqZuEPuWSuqP/YjtTfUUxap8QHVrw2Of8E0Mw8OSMmQQIg1icVWlpZxLhPLlCNyk+atE3
O2hZxUFOMZFKcYsYVbdDgCxw2KkCEBgZnnEwSs28bpT7FbYnw3yxUr6zzgbiXmpFdcyFlOs5LF0k
REiTNxy75DIj+yoB2hiY7RD2Z2ec0nLnkxjyaM65cQOlow0iu2qeaa3VOVd+yDqUmAvMBsM6Qqge
MBGAQmrwBlHzmf51QV2OeaKq5V6PQ3ilqKtXueb8gOICV4fba9OYjb91Oox3cWVOh46H+UyQ8WNk
EySEF5IQysT1tlK17oOfacO2zov8nRoVopCkSQgEHTpRIZGxSVvQRQ2c/e1calowKfzKmmJ56vSV
vrFnpLhRoprrAio+Nzw4vzzVi0MB46mc2l1BzszK9eb6OvRCey1SLxCdsxRA9W6mQCH1ZdWmjIcG
0NbUst9FrHaGnUM2FxOm6l7PbuuJQUGtQdrNYCGx+wR1yBBzxx68PEHY8V6zhFAyxhLlwC4SfZFT
1q/kp30nJmwjZnklS/cjpSu5zABk0Jm39gJeDzl8lq9YtJ612GLzoJ7vRmnfeewHmDeiq2oAFt9H
ftKtKAHKVZigEGAG/8lw/EwVPIE7JCnL6NF+VU7dP8ckAWCZyKhSMkfHMp12BF6WxklPo+5YScve
9F3tfnVeFm5pZa3rtrd4mOD/bkL2E/eWa/KqTrbJ4eFPwIOXwYWo5i2f4wXErkamg3M9PUdF6B0g
x8abPFuM87pbHScX47QLumY3gHk+ZJWg7DGkdA4SxvgObtl88aJZbCOX4KvQilwYQmqJreXdVpmI
AzGzKTC0haPjN/lGC128Sqq3d2YvPBY3jvW9Tpmz8LcrddW1ukGEcjcddeICnlWpzQF7sPqq88fh
qDdTeSzz0dvHhV9+H0XZncYY7Cb9tH7HQ469M4nB++Rj44BaY878SOyKawYofetNVk49EXZ27J0h
YlPwxgl+Y4LL6LtCitDJLx6tsWk2tUp2Ws78mxdin9uVu+bCEC9DSUz9Ujbhog3DNIiHBLH5oJgm
zVB2XloUlpuCnG0EGR1u/ypd7Gs5Xr3UFAQItDGYI7/n+e+UgKWGA7krhX6RAOMyHZleHCGRoyin
n3ev+pRJMjNiNkOWfcKcQrAYcVnlPEwnUXF3rwTkqftYcxKW8uNn5mHsHKslLzcciApJblOLhDZW
8xOGKxrlRALK66px3lnMZncQwaZ7/O5zMIWY0fpiHoDZdrfx4D6mpCuAf+YLMHGp1QtejIVDExaQ
UgaHSZucmWLowP0kYRq7TseCMTPfekvIjLjTnXw48dXx0g5g5SL0AZz6efKAQPBMP7mBujaiZokK
eA+avhLsBIJ4ksDZ4BodpyqzDy40sCDkN38WhW+9Sisd10njZQduCSIWwvqetAc4Vg0xFIy1BzBR
RVzWLxS05NiAI7txC1WfKs3tvgrfxvAhpuUaVAlvalFuJdpVqGfSv5NOwvhpYhuq9y+9yZAxLU79
CPvIKKLrqo1Nrtm8ZFBWwvnym6TS16wuwjXdwFFrmqW0llfWpIJiYiNgxlBq7NTaVRAmWlITVkRc
EvmnZQWbEjJ62iVEasKEgIQ2QlaSfhlS+QIpLojsVS7N9t6Kxuaq9r7cyWJm4arw3BC3B9FfmCfR
YdLbDWPSOeuqGrv3mWvoK511KMTMYy9GFteoTlkhcL2RJvTAUKd7yJBRozFVWQFgnUzJWzXA4FG1
aKFVyHgtOnJsmZoo/Ymjh8RVsqt2siklTSzbQ+zQxnomOwsgH9EmNEXOvZbF06HwcFbvnIitytqK
5QNBAVzSjXfjaaKvV4WnPakEfG1dUaJEev2V19P0UBdujgfWhdZl59zellX4t54NARbyeFXSbcDa
P0My2kIVIUrC6l/oxR5b8kdoejLrFolRhfWZ2HquPf+6ZFabbJSeuy8pU45VRVkBweIjje2dVUX7
WSanLnH30P1Qzo52Sai5XaC3XPhK2IQ5MBhmVWhLt4be7CvRX5Sm32V6/MGF9jS2w6cUNmhIpgvk
FjXonWwiBTDIrAQCHe5dqrAwRoftuOsUDPR1Le2FkQu/g+Sh5hwS/ZmLMIrBWrlyyXzpzxHmxJWL
dtXAsZ/W61To1gPHrweKAn8rbbJmE2XjlwfDoOrEH8mCMjlpDIjXyTBa+2aWOjhjT91XaT5v7WEU
FwObsyjSTzuigC0mu2fGysSyyXscsRJkYwzlTQoSJIU0ydegUz3iH+zWhmVMe6Ji9aBqtXf2nfVe
NXl+BUWSKzokIaNzq5ZBtjOtqzkWV7go2LBrdnP03MHc19UYHZuQgB5tIo8lndynIeT8M4cktsja
0JhqdZ131zZefeOHhrEjZfLdy0t+Xr+tNwiWyJRwnUOjwb6TTffSOO17M1TIpUzwa0jbcZxmiMZY
RT0L5jovZTFqm4REjcfSbteFgyaJtyPpA/pO7WvSwmJDRYliTqkoAFqpC2wb4LidJsuxmzV7Wgtn
b7EC40Utoqsw0uqL63FJRRUc0q7sn3HjNVci8QBmJ5WxzgT77FXrLN4kYtoCTMpyC9Ch5bNDClCs
ijBgRaptHaL9gpnh0q4e+vCxVHFzq0dIrhrSB++strbOTgLBmRoM6bKZl89tRISBVYw241mh7sg5
RoSYdPlnVRhMUAhn/+Gzb99NLIFxA1JB125qXyFUIRQbUmnxjm0vviIyJCVrZPRMNFwquY8iqryV
5jTJk2S4zlFbs37vQ0IEc13fMU3Sz4ZLQG8/RIRlxVIewhlON0q06K2ExrAKMR2tR0Tcn+xK/LPm
1eJJGYa2IoGEdabVy1dfNtFdxtrtvmKIfRw9j+C4FMU2Lz3w+ppOgJmoTXCBXC5XhM0ytbdzK2IK
Nimf+ji095qcxrNrAeB3xqY8gzCSJ/wLLt6g8AtpIvOXmbAbEnQVpRsei202O96rMbUWkTWFdTfO
jtzgAG1OkUwd6k8HWU0nxBsta7OZGTN+1V1orn0awAOc6urGiZLkPBhxssfmTUFORNKxwhnPrWH7
W7yBnoE7+5JpY4l/mMrcS3zjmGgGY3fTT8/m3N6wvDTZCQm5GtyuOHpzBq+sBt7bLXsIMbZ4nloB
zYVkmVMGRQ42QQduGnv2D6K1PzrUGdjrmXsCbI3WuL2JmPUNKHAsrKgYy/BECPx5IFy0aQz/2mT6
tGZ7MwQyE8lzoqVqPc75a+WxEkmi1L2uiRYuxJxuS71QQWXK8YR1xGcQU341IyYLryB8q/NB9LSx
v65Vkz7FsYkE3J1AC7LxIrtucDAyLMDNvm+NK9zJ6F1Ns3wEZIDIvtKHp0gnMAQmyj2bj3ALfh2w
3c7ImuwYFsNtOjprNxo5XBQlua5v0SWqswpx02LaxQSrppvUlt/5eMKCncj9xjU7r4Vq5brBCkrP
DUGhnQ0CoTO9ZHWHyNbIQ3Q/LTPOnqiYOdbPEefnBpgxiwN80duqYYsx1Jq5oc8L915a5JgUkvZ2
qEn102PZQDryCaASaUHKjUyPxlDjmSC/+aaflQ0NANgGxNlr8gyIUaYajY7J1Bsj1gmO9jhLTZOQ
V2zk6CnMZ6bArHO8wG5yUFl5lUdBVWtZQOG7j6srpFHYHaJhxEaZelAUtGm4lyItX1kE8fBYsRF+
YGSftVWI5AS7btwQrqYP6W3RGtrdZAsgF4fWHryVx3ako8wUw7kqsvKcYkt84wZsz7WW0+YCSAnK
NIMGgRYVrbCh+S+9NYdPpgGxqBnoW1aQSOhPCWokIqHNjJ1T+N3OrSPnri2n7Kg6pz8Q2S4QUtn2
rh/M9sNBzoMCAgDNa1X53cdUwFKVdc3DOHB48tL4pxB/8aHjh9yTL6dWg8OAMqkkiD+ztV/opcen
oU+K+w6TP4GbJiw+o6z+L3tnshw5kmXZL0KIQqFQAFubaZxJI+nkBkJ3OjGPivnr68AzKzuzpTtb
alGLbuldiES4BwcY9Om795674HRp7x1+p4+ykHwxrAZfIzn+rvNU7rkJJedYDPb9TJD63E9hsFWO
M7A3cBvqj0vLvue0tfeFAk/B9MFWfLZurBQARZYrwIwMFpvAbkDq5zZeNAm+lzE95WMLZNJ79vKJ
qq1Ckgcuq+JWUMcj21WhiVzeWEOUnDSl1Oegdagv6qrLpLPPFujQMicWbQDJF8yP9Mpr2tsVbrPF
LAbP2pneDJcfn88wdLn5tg/mj6oprXOS0kX33xKX+L8JCE86y0dk+bdJiHP82f5vyX78yb8tN33v
r8BFSgo8zJorjO8fEUHfIQcocDOuaUBigv/wfUr3L+l7Pn9AOeQT9AoD/M+EoP1XQLI2wLXDlZQc
hfqv7DY9eyVC/PNuExcLQUPfZ8fpq9UAyr//p7wuz1oahda8HAtO73abg88rN3ZAWdje9G5P8Y8b
6jdCvdgrTKsTsrMmQwGO5pbbnUHkZG9QN8PzKDDQU53cuYcut4pbf+q7gz3G3VM14vkp7YoMglss
WPXmPDnFfVVe8wUVO3b742kMej3eznDMphtdifa6pp8ruXf7PgqIqzlxAh0n9eLr1vPwHKZxlT8p
NGfcI8UM5ZKeV0fup4bGo2PlAVihOAaplTcepKSVeeqfRFC6wyljEnwaerc5ge31uAVN5Q8iixMi
SWj3X3xz5Ht9g21RR05/8Yx2EWwsUpSbkaLr4wgkGbMEknq1GTnqD67SQ3RoncarDskyqoqCpjC5
Szp7tazEUP12nAwLNc5Z6EAdhsRLIJsFiXdiGeuIk6KwuOT8UwmJbD1iqKPv3fqo+jBgi8iEcVOF
FTYMWEQ3RpIcReOuvOR6ouB52fn53IF7crxW77K2hZpb0ev6Ixqr/j2XGTOc7rvqtyRW9R2zeLbg
N9c1FSzJTE0lBctgn5mZNj3tayDn6ik72ZYcH6zF4uQkwvFrFbNSXAVxlO/nZrR+mEbN1o4xnEYU
xRD+YEkXPpNUUY4l00D/4n465JfKyQfoBODv2y3AwrraGoCH37oWwQoetPP3xeuYnXoYqzQfrdze
JGkTgEM1GMFN6sE6p/HbCq7tpK4Pdl0OO9ma5qGeGY7jAd6V01XNU5z6gktp4vIyXNJi3OXs2/d0
EdWfwnTTHWcYcNq5oc+LUHd2tghz7DkYaioImUBN4g/wrHA9HzvW1YfKtedDHGXTG5fd+RbbL0kd
eH2vU10lb2x08d45C7I5Nlb/B1CC5dmupumhjFglqm4atpkdjPcprkeWV1DKFcL4LdN1cOj5u4Bn
UiYY2nTjGdMx7CpsfZHhSxqXFjctbX23FvisFTIcnuFRVydZxMGhdHR5dEVcvLa2wnzqs05yyKoK
zQiDcZnJ4RovIE8+fMt5045j9hQMVPklMd/p2HMnT/zEXBN/YWfA8ftSR8wyuu+nM/cLkhw4FbeN
0JhR9NwGW7tAAdxkMowe8G8vj44csCGUsLJ41p1jLVOv3sWgHr59ZOFH1jhyl/au/bxE4/JqAXY5
5d5aZDimjUckaKrL1xz+yJuq0vo1q7r+u4/b9NWz3Ss9+v1J0U91nwoYNMyTnX4gWNG8N7SfP5YQ
5D/HAKcgkx9rRJnArSrjHINWCr4aKC/vFOxKGKf3ozMDknO0/BwXGMobNqvqRcoGwtCQZ+COh+Ln
xGx677eO/khjy+zjguvwbiDG8+T4Xniaa4qCIWbkX54J2ZhVjZDc/PGq3Kcemv8mEGn9LZPGfl0f
hIuzeMt37I1jvfNHkb8skIge52J68OjBwAQes9DYeq498n3SN0pTmm+/Ow7wkSO+odLdYXUN71hI
9WeMPNlTCOTxdxFnEyTTYZrfsqDMO/JZojo5hCwxzTqh883CHw+OIfqBCTOT+kLSypYExYj2LLkb
QZKIyk/dKj79oG9IzNDw8SBArEtggiXOHtufbqD8dPY2WtYGe/ZsO7S5tYeOtnDJTYCybZ6BFnzC
AWoIQ58KVXuG/UY3E+4Sbe9Km0aDfPa5VnCz7B9gW+QILBkfklrjdMK+KM1TJPMGMwLMfy6SvXlO
IczttaYeEflfXzs6D5+iXKl37BHZuRRL+GGN5lnUxXQDCp+YS02TwGPQ6qw4VSOVioNZJD4Kh+wP
jAsWDMSaJNuJ2bnRmd/d5uhbCYoCjofMnYI7goXwWtLFYhNU5Wp5HLWJxhPrhu45FEl+iYfI/ZAp
8Z9hiLxrwKyCPsJ0PCdgJ27wCxdn5JsiwusF6h//bnBflPN8GqrJPYNcsVo+ZAMrhFyMiYXPpdPW
wcf35VI1EDS3fBSIyMameoyaFLQDxpAzckjxyYoq+LSAch2JIfE1j47TftldR365SuRlsBMfebCk
Oa6JffqJ2vpXFEbjJw4J0B6R43b+NrMy2sCWYWwZFZMUM06XY5O0y+/QVG0G187zT71F6dIA82XG
TmHcK4CY1U06Zg53lfUnOlP4QB83i6cOQeQqhhEC4xthctsKv6gPyZRx3vp1ACs05vWyaWy3sOmS
G0borzk4oZg6wqe4m/vvVYfs71FKge5UvsowLBUeNM4EQ2DZJ/NjS8cCJ3tr2sey8opga/D+bWhi
9dQ2Y+VEqVrfcHgNOrszZmKIjhGhYjZqJMhhx315xRiaDempkeWW4yTXgTuPwUHKQbxoL09eObOz
ZIuhHPC+F1QDRBrLvc5zvz4GZExfgrhlo+y1fYk5k2qxbSb7tVwwXPBcDKa8YJVDR2g6k17juBbq
Oi5n542uKtZOk9teJfijKSg0ZXUeDFSPjuX+0yR8eVZBnB1CIzA5+1S+LdUyPiyl4QcS8NLdsAfu
3tygqb7Bwi9vYkTtybumRMfwc1pD/fIJU4u68VoH5sisjX7rZBuDOB8dxiH6BdwQTGYNOy6Ok7s8
bLK3Ct/PLQNbo44hfCYMkSbIbwI8Vu8BYHfYs/qHUHl9nHU27aSleJwjtezYd6kLJQIss3XB/TcA
pQy+1TPr4r3ry32dB8kRnmH+XkbcnkhxeDUaQltfw5cP9nG3CLHJFjmdJKWpZySO/orrDzXDXaPZ
RFqHBOGg2RCOS4AejcPHLLnmE2dReps7Xvbuzy2lD3Hv+Kc2FD6ids+eu7HF8Dt0TbAnL7NtGYz2
osZKaDsG9b32T+PI4993mXttd/6FOzZFjtRZ2t5Qv7VESo6DaslQeoPPGysdXHGcLIObkptx/oxf
XrxxwSVWg7XtlIwWi172jgmpeMIJ594iNLSt+rqL8I1K9SMw3fyz9nyZEDNNSOyPOQs8jh9S9ux0
6zDeEklpubNRq7bl10z/atizijHYd96TRo/8EAMcObPk+DyGqbS5KPfIunPJJzUgC7CrZst60FVy
IS7vPUSJCi+JSD1a6p0KrRerIqT+CjZtLSoLn00hLmwhnVOazxy9WLAPkYjVNk8G5zKqq3DNI6KN
rO1j7q1B+b4pxKiwVmJfmwJMdl4Zo2XaeBJQLKMH43f1ztL2nVck9h2p5hCEgxgfw6ZKbjL03APo
YitGLeaMRQGQICO8ZvR2Q1jJQ19wn7WBNd6g60JMtEzsFqcii7rbdmFY3LRcZ15damzlZumq2NlJ
JDV93TAgvvZRq/0dd/3oteFdxwk2u0+1B+cS/wNT4sFuyhy9zKI+c+NKxF54scEd69T4IfI6zBNu
NM8OL7FpOYMqbH4YbesXKqrnG5172P/xAuhXoyv3kZcdjEeCKPE7H2BxwL5dMkJbuNn4zJSQvKcI
U4Tb8kbtKpZ0SOlnyTf+HeihAJQ9RnTlZsybV+VY0C6aIyviZPM6I051QVLYwZMbn4q8dkremrNt
7XoqRzBKkiaGhQHsEX94FDlb1Rsv2Xsk1eW2xQPyaVnKPJeYmghNMLPvaiIJ95Q49e+Vp+d61yAk
3/a+h4nE193WpBYjzqwGce9j/H83MI+6fUyVaHFvyhiXQt9QjrtzY0VXRGCFmLftYcIlLDBiOaep
horKJyIo0MZk8BYC6MDp5YWwvTOPR3Vb9MS0KXhVZGvqcqZXXC/2mzGw8Y6dFv51MI/jBKAySl4q
Mh/zY0GwuT/AV1XfhgBvdazR6+ZDKLrV6OZRhbyDMGri+85Z+zryvCLh59NVwaGXB9g3/PmJzwx+
SKcw07aLKeZuefsTrhtOLZXs1xPlN2+8ltwnTavIJknDAN/N3D1Pc2Yg/uXL27hEnrUJ4mTCMLvK
1G0sctjMjV703zKM/9/09X8wff1BIfFJ+3e52AvHa9/+ayp25TD9+WP/IEU4jiSOIHxsXurPGuRv
3q/A/suG0CBZmfDv6T5gcfKfpAhFmlZzStNwwIPOAuN/LEjgLslAKDbpqzlCUM/wPwVh/10wVmn7
XxckRJlQplm0K60JyAZi/ff/tCCpy8yyZmVzPcEyDBC1kxsL0b8YCiiJwfSDEoZoM0wxxY8moyKn
6n5PUr6l693Qy2kpaOCnu8341SE+bjLqdvbdpDF6W+gWE6f+M+Zo0jFEp5iU4PYsA73QS5M+ata3
u1EO8ak0GLaiqMZKlMmNSeYYKqT7owrqBlVyfqqU+F0w3NszwMscc/W2DFK1WTIL8c25c/KWPr/K
aj7iConY5VJx6uaZtKHrhPxfo+EjMfnJWqqbNocVx5wBobrQ0QM9VQGal2vtRUOS3nbSEi3Yc667
VC3n2qr1TVxSdb6pPYWULPL5NQyiCx3dn2Pc/shEx+dzwGp5yyDp7tNpCnddtQbk+hmikVT9E3Pg
MWszdVNre7qSmdsfFsIpmIMCax0xE8R/r5+ncZO6dv9to/uYOQKD3jreI1WMsG/qeB+TajnOhghY
aTXlrZdCXkedDH86TWSdtGq9c2wkLxLdsAUYA++KqrD6LPJI/+z0/NFOQbx1iqVB+hgMigrtBHXp
1D97HVi3ocZOH4w1xBs46TtuV+p2ydqeqr/qd2p345GeW+++5TJzGCPSLX1q0+AgKiZzD/gprYk9
zuCmPTfo8k++Wb7QzxiHaJO6H/M++0HN1g/lE7EaKVLmGErFhspQKkKzHhqRinfLzC4/G/LvhLYs
0O8Qzjuus3rgP1+6nCTOCBh+PxTizEnBA+AjLIq6pTbLyy+J1heOp/TsAxLcFMSeLobAGkBXfGYr
Rvk2baL8CTSpz71/IC+YBc5+TCj17Wr14jnAhzy6iW9Bg7/xvAa/J1F2e4HWd7fICsWziwvUDnMJ
rfASzziHqondxGJe00VlO/jVwdGskdLJUu85JcSntDNPROmmfUYqdaNTxxyKvupeRUTfqqv9p2EO
LnT+PuBm45nl874dyBdtqBMg6hKQQjtOWPDC29SRDU6sBTRDGSarYWtu64fVKLe3XUC0cZvl94GR
+R6OyHjFaANqjGfwPurMcIYemJzgAnIQEd1ok8Acl474rEiZ6CACO9dsB9MnREL/KElTI4maVzsy
03MRFHBKSPyf7I7bQ6c0nWupPGbJULzmIOOJy/nDfiS22+HOJhgc9Fb4juGQtrpMNjdkGqPzQnya
qrnBU4y2bit3fdj+ruq23LEAjfF9MuXoQk2PMIMRyCaV7WH7Mh0YTfLZd+7huJqdH7poGMGYPI42
WsNc+/29SJcCjK9G15uDEylo3G802558kbKBrBf7Mcy6addbaBFzPHHrE0G9FSb0tmvqcZd1I3te
GCJwX2K3zHETwfTCi6CRLa3+bTaBfumj3js1/hy+5cLD0ii8lASRYJOnvPgq9Zr5uvHc5CUgHXIT
VQ0x/thd5FO+2NYdAzR75yBP3/Bzvom4xaek501kovJUm+mh7gb5G4Dz8JSwb91ZicGU4gza2yRT
xZiHv8MLTP0zcfvx9wDf5t6rnfEczHo8oe/nW0XOgvBhnsFuid58rj93Vutfh1YhsaKusX26XVZ4
MW3fFZ0AzfU0hJJPbuKku2ICxFsPsXet8iJ9GJeQtandpfcxuD16zfubXifDEZd681aKHooW/Vh3
XTP3iO/s2DDdyz0ZOX6crCVfBoqjiGLNy1MYL48TQf2d9HGygDWB35b2j5xD1uo2bQ6wIqKf2DmX
k51bl4it9p4qC2pZZNndV5lPf7y/YAwu/X5XyuSG/En2BNqrenRTkKQFYe41jmKxFSecTHoo3OEM
mcGtg1a6slyr33VW4+5CKjqPos3am8nCam8VjbcJi1zQh+XwFk7c34QIyx31F/ZWBQFCoP6VMJ5t
w5SNjAoIxU24NvbZkI5bxPdlj8GA10uYkQwqqWNVVJj/+Rok1OZ9lIz0wXdolf7Apzl3pd4z6QYk
1GOZAghyFc1i+I1+WlFfQCxEaL/I2v9GHF1toStv7OSPsb33pX8/OH5APCXDSpTiun2SY9wfcMty
PbDSJ+Tj+tYTOn2tA1/jGHXHfbDEr0Wpjy7QmR3CSltutRW8L+y4Dk1Qf7GesjCI5pehATuQTvO4
K3NxtwzLbQFRfMtpl74AD5FXPaR9bL/8piGXhQdnIGDjF7x6uqD8KuXys/eqj8GTIT9U4pBUoVOM
4hmSe25WJueJlWoSI9f5JI3Z4JD9tEFDzeHgb3EcyZ3fcwdvF3jlKoWXb4asvYBloF3ORKv1pCtO
zlR9Cou3kMbKFdKuojv35wxBcVTuV0GGnYpSu9wmjvv136L1/T+HRlM2U+i/m3VvP5EDPw2X/H+Z
d//+5/6uBYq/6CsOhIBtxmjqrVDQvw27nvxrZaX9r2qipYR9xt6VYJp0YJWtI+rf1UDb/YtCOlCi
jMBSO7b/X1IDafpYcSv/IgcqXylkJ8fxgTsgPf7rtCv72Z86aU37uavlcNIo1btpMDgwllh9R1kX
ENIqPFBZUzAs7caP1mid/SdlZ+HP3VPM6pM8N271o5h5adwNvVj/i9LIX06j7TVW6Vx5k2L90P7J
++V/sn8sK/L60W2T5M1SyOPPYlZj9Uhpbk6PLRAPkvIKKNimLTXGGZWPwPgpXQ38Tbdo+kP1QNIU
7UMyh/4tNgtqkM8xAkX0UHaR/c3uRDGCYjKnqqgPrpo1FUn/oCXveqSmYmfHfHgABdg0LI8I7Dei
WaOW7pq6tMt2PHcUvvq71kViuwv/BDVLn4DjE/nkH9gbZ4xkliDl2XiSHPoYcphNSYyzHa6cSrGu
OECpyj/RUQkBgN6JwWBFaqKU1KhvFfrQ/kmezrJlBTLSXJzeG0cAD4Go8aIbSjIt4czRYTH+wMDu
R2N2bqe6Z1CI2G1AHVbc0DmZc4MaQpZWdnZGPEpwIuDlindUmuERXYO4Xm6qG7v140ecNvW7Icvr
tt2qKEwZ9dFZULh7Joq1RKLX/ibAtP7G3wYlZ4jah9C1/OoKBxfJ4uVPypi8pnqin2iJbtlfsGGg
7lDxhv6TTy7nBefvWGlegSHQ1uVWdV5r0WhNYH0rRlYfJ0jr6VvrL2N/7OsI2zBghZn+pD+pap96
2Af6Suxxm/ihoStadCBSOFTBwFTMCCe3CwgyGPA4wZWgp7y+JnhN0JrbYz/ghhxLFpR+t7oLK1nt
o0Xyz92fkLhBXg4Pc8Z4fSXmyswoQrR37mG1ahz5UT1dTBxb+Sldw+j1Gksv4jUpwzL+qzKhPZ15
6thiiD8B96HtmKtcu6JgoxWwyXLDHrJBJGI9aPlDARsj1Oc0FdjNA7ufTrHd+wWdLJHBFgxnet6i
rldn7IDYZ5O6zfCiJ/Fjm3gPcEj1izH9xMQZNtZV1Nvx2R9HT2yMXdRvfpnaT0gU5mNhDmIpnqFQ
sIrFuWT58jlsB2LlVZ508pK0EUOQjbm92fainp+T0lm+ipiGTbalLYUufRXb923PumuDEVqOezpc
6uG0iKi4pZSWEo9JVZBARDoU7521NPdB6hGeaNHj6l0ogow0heuoC1iyWm2ELJh1fct3OgSU0r1R
XRnToBytN2OAJ5F93Tu8E2CaFeq2rXEL7ca4mqk1T4uEwjvSHntvVjztdoQZ364JNe0qXJcb5Yvw
1Vry8LhQhoz7uSq/8trqN3lL10wUquktGEhsNyb1vaPdtMX7TMdcvKlZ7N5DzEGiVgXxLZEPFxNp
yKc5Nn3qSIMJBUg5D3BUSLWqwElP/YBTFwweJL5UDLI4NaJRL3aRmWszj9GHmwHW3S9dh5+IhZyH
3dQhv34MkM8PMAjin1NtrbbE2MekvQgbJC+QRm5pwrmaFg8sqspLzLGxXues0NP5F0Uj7ZmOh4Ce
n8lfXiE+lb+wxw3BYcgpqT3GnDhgFkhSE+wdhz2evfEubirrKlRybU/ESDo+12MScvsmaKx2MRFJ
CmODoiGsLMP6POg674/TTBnlxiyiTnd43jWXwZBndeuKxrwN6UzyZZDVNgDH9WFHoVe++KmxBG5i
PiibALzILrQq190BpNb+r4J6K3ocFufotiOPZ/y2JJb42fX5OsdV1I0kWUv9bdzQrAPLgVf42mEO
gQbyXZQ0XN4NshM6Z8Brn20yjLs5KC9kw6j4RQpn6lQYWQtuJpdohkG70ZLs1b50bQpZ6B1MH0Uf
egruF7uUDV2ZyrpWi0w/NXvrgSZ20We3ygkBCpMkm7ep7RT7WiZCb5a+7R/oDIkuxK3LfDdEk40S
6yT0kthuw5MYuKW1Fs4G40swU/rA+8pOaI/jJ5+A0FH6kVokS26BLBGuSdBh6x1uLr4Q6cb1U/Kn
MJ13A8QTwr3kDGIyzfIqwZyEzgxlZl/yNkON96Bk4+cUJx7mhYtCCR1tmqo62Q7MB7RBWUkbHrrG
DU5lniZfegq4l5ClerSGLqFAsUmWX5mycuqLPVeC3Eh7v9rxv8BuOvTpQv5LZRlWhzzo4RLjl9gW
VPaoje+vPwQ6FTdizLgJmWzhgj+3jvPpNyTFtz616pe58s1tJeqR6p5syrBCZGx3A8oqCG94UXE3
oWygr8fD6zgTzs5mqIUHYcF0SwuBORGApBlus2CZLwMJAorbUzgGmyiDTUFpZE8EYVTziYChfReO
MSQI6JFgiahSGRuQwdFS7XzwP9zepji8VwSK55Pq0zp4mH2N8mKNXnwL5iR41+7sPqbSot09RRvD
LPuEepFcE0DpYlouCcM4vOR2YTRYJ7pLxMoI+ZnW+bBNat6ZUpjM+XBbeDNwHRb/rUPj+jY1gkms
GMzBGdnxFkhbdiUmhFLeMWvGO0pXOCae8LGn1nNui3Q7TDJ5YmPlne3GE/I4OMAliogSDuxO0Ars
KEq2pLRiEBrwrjaqoQ3Sa6gXm7yQatFmoY4aN7d+Upiuso+YXcSNHrJxq6t4OU2FgM1dQ7TdxPUI
ty7niz6mUTXi4rRld+ziaLyGhB2prdBjty+9ZPb2dpp4d0Njtb+APERfatTxe2zmi2VzsBL/Y2ey
9YYWw9NUK/BKWrB98HBvArhx1uy/s4CCxp+lfzZWXIujXebSOg9pemUrItqyDf1HauPw26PFXHLg
Qh8utYrVnZM2wzd9tuXIbJDJ4l53MQSnOB0t0CRygbw6+3VBLpGaR4AA2fQzklHwRY4iGV4ryE/J
UVd29dVg0m0f0ag8by9pzQgI1kKUuMHPzI8xioJ+xtYc1l9OlA/ob0rGw1WILR0jMeMc6yC7ory9
LJ3huRE+Wfgks4pnOt+R4qpJFwvW+eZpMHVWnd0WXWZDy/r8OHu0tlHDGd9CiklOCQWSgO6ntjtS
or1su7wrIC8o9i1bgAF8TBjEu4dkaWPyK5F/LlMroRJvZLGjFHGUohup+Zig34VVne8DNpac5cwg
X61yphe35GbZo5PtvIpLKC9e/9UitjUDCBF+d+VTXFV+zmUX1EdetMEFd4D66nEBEF/mBnzfY/56
7SdgPSk6mH12KEHEZlYRismbiMYZoexXzax2Zzo3Ogb5AEKcRYcujm6hVb4XdAxsprmuqfrMavWL
AzLfcWTR0gtYz3nrQvMp24Zt2jTkSDCRzOpvgCREQhO3ttihx+umIuwZOIhblK9N1EeXkTVHzexG
mFowLz6PTT65BCaDRv7AZNdsg2bJx1+dYiWlyF3v7DDZT8zkn/a06G0/x89pJll2SIc3P554siUN
GwN9Eos9LDcZHKX5gKW9T++SanBWK77lpVQ+AZg7ydqwE+Cf1qJGzpJ4K+zSjw5J09cH4zUOHF8s
whfTGC7aiYwk8ePMTvDAcZTHM8Vm4OyjJ5795cT+QELQ8Tnmd+XS9wSPE7WlDbm+FrlxDtJiKkhy
9XtVIKgVW+Eiceun7pVJISy9FSQJIe5IJOZNUbdMhIsj7NvaafoHNU4QY9J6M2H72Tc6JqtYBNXe
wca1HczwkfVj0hxYzWREQnKvDTB606TVTEH3NFrhcoykTH7U/GyvSgKt2RaXWVadEiuw8BMWKkn2
QsdOBirKst5jXNnWOSXzG2x6p/BeRrZxYlemykYpbAcodbmPGhBy0N5Far2cVZ7JAOmDPn5O5inM
D1USpPwK3eUdu8n4Ifkq9C4dY7KWPj/veqdwIByV004fDd4kwXUsU/cEd8SFAZc3bLoMDOt9G59D
p5p+F2EzH/Ts5VetjavxBMFR3XJp8MNzk9byZ1rVzg7bdYHNqo9BTMRLgACxZNP0McmV9SlLRSAV
aAUbzgZ0RMBvrIMI6WTpng+z3WxwGtBKbS36xmQ5bLuY1X7C2FFGp5Ai43oHKvowCmxx2L/d4l4K
hiHKzERin00Qh/rAjVjQ7UhEglsV1xuaAV2Sm4HK5IfbcYBtl67n/grwQ62QuRwXVkijxfzCetcm
kdI5QXpI0HS/hqZ1r4a4t9+LqfR3qOzwrGte84uE07JxYbsQz+2qPa6KbFe4PsKSLLimb2cwWNWm
kNp8KKsJ7yNvcI9kjeNXwCnk6aK5Xn0raa4fl5byzHNTSfAfJgg1cemo1HuYfvjX+zGC8jLIiLmG
lqfp3q995JOoS4KvBL/xs2OilzigI3LjphoTK652Ht3FO4CwEUdc+P55NgQZfIXppZ4Sok5DI3Z1
q3W752zOcZpiE3tqQwJpTtt78y4pE/Mr7WLdHZD/upbcapmvV/buq+6W4R7makV0kqAwrY9VFHFI
T7P4VN0odnQv298gdpYnsLHoH3mib+BdakhTEUaAOBxvCXxcR17gEjV36bXZNvR5YlD5ZVhEPmSa
KHEiS3ilMbck2YijSVmTjoN23pYl/uJxA7K21rOyEv7Kh4SofegUuzzx+XmnTMjQYO8UYflz4Rq+
oKGqH3yO4UPStdEHM0XBpjCZ9bPKPsWaz4UPwAZvKikrnN1yj0rvXmU0DT+HdSeOrU+ElhcnoUvj
HG2aE796YJSnULTqyqmz0wJgPML5m6VIBnV5SLF8PLe4464hP4mfQaso4xjk+AkbBVZLmIFqCrpZ
TKc8qzTI78Uefy297kegunYDV9H1z/SnMHQ1ku99O2Bk/HQzTQPIohv3Zu6d9lRNzPSZdrxjSvnb
qUbG4zGps4fRd+Y73IBuu3EJG92MYHEDwDPd8ntOTUaFORPk1lWFf5mRfaED0LKmTam4ExMoGSmV
30km+d+5NbXHtmv+HCY/msD0hD+ISN4azUsUjnuVbmu6YMJjUQXRqbPnY5PD2C+7eEK9BIKwgYre
vTDuNiwoZlNvpz93DthkuwaX77fvxAHkrIqo/Jwu7zYC4VNJwftEICal1Viq2VB20ttbmkYzOLjx
0a3yq1FG9THObX3fZ8rmG5p8ayvdqmTYsQp1cFjsbzGquDdDzv2091TzY2zFtbdKthvheu5THqju
hFVieswFcKoJqy/yYZn9aHJHAPsu6h00hfYOXI+9V+UsD7VLuCM3I8YMZW+ZaNyHuHH13vWS5Fxj
d2ywUrEp9u4AVI0kgzx1PbvSZpAKFjyARNFK2bnckYcE1mREXonDmLYR+lhhsxY3vKjSPR8Z/w1V
FfRQBOpiix0qoYE7usCBDQZYGMN00Xoyh9FUqAhN0Lv3fkTDwyZK9Xw75lgqeeNio6VF8zB3UXNe
lqiW15Od1pRnuhX4uti8W9i4L65uOmRx4qQvyxAw7UWZg08rFUevyAS/1QWLDWGwbVtGHSt1oMZn
orCMIWM87gbXdZlzlsz7OZUQHyy+kamy2Rd0S/F7mL3wyPuhemqWcWQcCq07qk/BzYbjW5dysPZ2
ge5GM3N1dCdibWk+PZE08O5qN8Tp2HEd6DCVcL3Bx+8m15B/yytPtP5v0TkPVsjYTZ/fwkAWzg9a
UdaNsDJvbZNbm3VxkgIaPMZT2l2h67GbmqtFv2pZuO9uZiG9gWQeoj659poOox73DXhaDLagJt35
55Lkzgu+U/E9tj2RxyVwH/olOaaUFXQkr2YaGOIB6gB/F+ajJf/VuLY0e8sx04nR+z/YO7PdyLF0
O79Kw/cskHtzBGwDjjlCilBoSA15Q0ip1OZMbs7k0/tjdrldVXaf031/Go0GCtVZJUVw2P+/1vrW
hNswya9p44gDbEm9reHJT/dmGsJRnEB9+zRWklxqiC+Ps6MEx2EqxXH+E2tACh26e1Pm8OycwuKl
918umn+1lkwIxN3/SFlYR1SSxRSSRX8kKOG/+f1P/gOiRIxHBPb/kzPy3N9wz4hl3fKXoJE0f/MC
i/Ju9HMIkez+/yEt8LeYsyhpcTkWQ9sjOfRv+GgsDDl/EhbQOugh85xF+2ByEX+x0fC29cD6LUUK
Q836VJfeq4b5efYFVSwwJuqRBaL5sRRm/8SZX3wfumZauxQXQvVsmIG8vqy3HsS319rqcdzmPLEt
P84+HfZ4L/+lcf2rHXmWu7Sk/fP6n/+FIfr9Bw1Af7vW758/m79ek1woyz/gd3OX95tt8TbB2yUc
K3Dos/td78Lc5dgBAhCiFxen94fwW0DpQeDy/6ZAk6tZ4DD7P+E3F5EMrFfAP85DD/f+LbAXa8s/
X5S+SdeQ57isbwXN7p71l4tSqxy6yjL4Izsp9rrgK+4A+nbtRoYdxkrG7izBx1lUHXSEmgs19vFW
b0iYiaPh28nWtUS9lLI57plFOtJPP5LRZUPYxG9zzLjKWmsEekscBq9H6ZLjweRhbuvBBFfFljSP
D+SDqzc3oy9+WXsSzADWzfmV4rIGFzW/wTOlWvbOgq7HIgr3iDkNouZHQYuYUS0YNGzstQZMkAw/
gPJxzw7BAAywS+LDWNaksQXsbh77Y8LxCbiKXBk9pLIr1hkmKruq8nw9OdyOhSnt+3YYq3CVakwp
S6kyHgpt6CZmVZGbX1FslvNWKz9oNzaj90NBYj7bk2RQr9rORLf3/XD6gZmhvVZJRpfxmBcI5ZwI
oQTWdv/OOWo8UoQBQCOv3PiNhEGD8xuE+HooTfN+HFyWf4wpxDlQdyTjGVa1pBCklK0hfGpdMb1a
g/LbVTGLsGUdVzKz+16XsHiBTLRi94d6VS0FTCK3hvMwzgbArAx4wWzH84XBvrMeRV1Ka1XbtKLt
7KCSwUvfQseddNRY2ywwNTUDhRJ6P4307GarTKHCHHXTOLhtl88l3epZNlQMZF7kIxGRkSSmXS8S
V1W9ikbirZr65cOKjl1LGWxbVGykVQu9K7D1wU/xy95hmS4AaXkRAWOOTYpFpUfLckJsiq1GoXk7
m+MDm9+vhJ3stqDpd03vQngsja7HlBCKVa0tsYOdPa17Yu0XCtRZFUjGkWm2gWGlHDJXihMNJzgY
aBsZdN4jUMYjnQfWUoEYBjh8u3xrJ+EjAonCMdi/iEoS+3OL25rrY+0HzieUryPF30eG22JPlzAr
oCYQ67FI4q2c2+JMc0JxcrlsHnJZGRxyOOomkkV2pjWNsDZnqKCsTp2rbyMFDZ1yrpQCbP9sW2Zz
BroC/bXP9S0cFo9v1Y4+7b7J9j7FBC8xgOFLL0mzEwYHp4tjfmUEhCIcQox3bIu8rUSwevAIPF3I
kGPITh3qEgIPS8xIsdI3lY2PaVtBd2pTdZy6YUao9epTxYIDzkEZbmDcICWVyUdpJfJRl1a6U4Xq
154S8KzCbKkxZ50LcAW6Pynw2Gq7s85crFVhZOptMjndE8fHa18RP6AOg8i9QwdQnUTtXRhlDQSq
iZCAE8sNZBQ4QGx8oTKrqX+wTYvQvWc8Mgr9ZJtzTQekBie0SBG2dEsUSePd4fxQr8rHwBPxd1aQ
eIpXkscVDyP5ZPdc/1OOASYPPzMr2ltdERDknM2fdQJXCOfZTeV69BcO6PnQ8Es6rccvD3BVl0fU
JQwG33wlaR/M04UDQPU0zSxQeEOn3oeADlcyJpY0I5FCVza8VdHkFBWJclwPHtTibHLmV4Ofe5ck
IX0Ima33EljSGX/SAsYyhsfUKR/dNkzAyeXEXVHbdmKAQ+wDBdumcizu6yZutpaXqVXFkvUytykq
IGE6KAZWCL2lN/qOtighkYcWeM6UaTJ2Zgi5L06YP1D9h0tA/dnWpa5+G7Du+tHq+qvSUm7Mzten
0Q3lLrKGYNtaLLLJOeRXB7EUaHUjTmMm04+yKoqd6eCuB0HsFFebWhSmdtM/cCXwJOSo0rCo0P7L
EAj1WaUwkP5+IP6n1Tiuwxnwj0cm0t2clWzpmB72DywVS3XOH5zHZVnrKInM6OiLpm+XyGjuwoQt
J6z9ufw2lK3NM66MMQlLzS6dTsjiqdDGtK2ZRD87HLTJ7URhMUN568wHQ7hkEOrl2yc+avGaGlhu
UjLuhViUBVgEc1X4VnR0utwf7kY7q9GK0nkgNkEqcfLMQmarlBCEc1PFs3+eZ/IrIA95RMFogjaY
SNmSW2ibD0OKJZMRuS9pM5Vrqh5QAT0PD8LK1PzTifuS94Yd2RzRrqd9x/P9ZlaYBLJoyYdILMoO
jkfMfD17ItFh/MtKemeCsH0O2EBuiFImq7oLcFcQNq4JpTgY96Bp7LyR91brlywf7ZmE64CkdPDd
2mAL1VtDn+09i3ac1eibBArMyclvkVxBDtf0kZgdvB7f86bTkm0/ZngW53Vtm8ZDyuZgS2Omc5dP
jbxiGlCPemD/IesU4GAF6ob1LguPxCrvMIc6ax+i5R08QIfxmSUkjjX6Jyjj29FdQ02LORGmN6N2
J5X/GDl+sW6c70Uy3fRB+1621p6gIas7SGmXKvno+/qBSjv/lnnWWsNmrzfE2puHyEQdjEo+OM4b
6wK3Dc+VAT8FS4r43dIOJsTMHled159ao8An1wGqBFJFilW6V5BIB88O2S6lIoWi5mbPtVcBhWlY
Dxxnr3Mz7KRNv8WSsWizdfGaTASYTVF9jKhw67rG5eHMQXGwuDbvtKetx1g5PzxozQ8lLrcvOXTd
oh40amf4UUNVArXa89HvLFudil7hmcsmu3pFeyk7iP1eYLMY7cFbMTMjbIyOg3o/j+zPg9ys3uH4
pG8tdaXzI/XcAk8qbGVmhUDpN4tU7cWvWnkhRO9+ULGN5x7uEe5DRxoffZQ2MbJmP6wLq3UgVZrx
Bkx/vxZ54j5KabQ/ZCYCYs9B/ihg9OHbU/AOHfBxCCKdc/bGqD53ZRf0awCNiP3INg+m3dpn+ASc
CPTAe54N6calX2/ruob/pFkJkamV7junWixJnhqVdWBfnJ3iYRGHHcOK8G9kRvowFHpg2vYryea9
Tkk4p1neJmuWSkOz5WGH5Z/VNd1NPLHY+9dzt6znJnXJW4VexbuR1743z1uLnc0DG7j8hVeL/bMr
3e7A0Yv8AmZXey0rzTIYiAzSsN9huJ3g6Z9GP/bH7dBZxbPrJOk5nVJ5Ke28f1BJELx2jbSeoDEb
O12H6mE2Uo48CG3FIz9G+mTNM9+ujnk10eBinlx/6G9AIJDbdoBv30Zp1kMpDDRL8LBstqIWb1OF
IzLyrAH7zJQmbxlwtNcpHL76qjPMtQVP70BCbScwifDEchJnn6bT+L2WE8j4cOyW+HPh5++NGZH+
qzL7NRw9t+IbRd7DTAz3dhV7hPx6P5ff55RFMy8l443O+OSBBtvgvWr0+GSRxL5NXAmjYSxEw7mk
sJyDjcEj29om7VUrq6QKOaau7Efn2skBd0mrt3Ik+rh1uhQDsFXGy5ptbKfv6NfGZTCrnDLbMGHZ
STNMemPYiT5TWjFsTATSTxP/c8w91/gvVmHWyxgM+ugGpw3o+1iY6pV0K1VecOrifF0ZdY1nmZfF
m1/X+aMzQCAcwpAUmdJq7TedbWwaOyzwTAWcxFZDD16fh17TUUrRjxSAhDpnfTMO4jue+ynFvTNE
H1PClp+qjqw/kyhuWfCG8BWz1GvmG58ztmlVqbohVxdXOxxJ3ic5R+s2jN3uFJEDTfeeFPNzC5sQ
w31rNQdHjWDQGie6tm7hf5RYJh57ixFqXC5Jhqd0zLgIFDdhDqWDWx4Smb2uERhuZ6xcx1haAfPP
mANSbFtF0IbFhboCqpifWjOmJykZedh7hB15is+Z8dV2doFzLSe3ATvYdC5zQOSBV4bsz3ouOgBN
Un6QOpuaHZe8/skaMj1aNIxgK4y1ei2I3Ae7NPIUzgrb/hJx32+iXGV6m7cxNm0de5SmGT1JZgjt
+pmkMlsxoxjzbWaYrPl5ibLnTH2k+hZ+WLpJWZzeNDCL7hI/DB74fAoqjixOnW5Tv+Ww9ih5lUWx
qTm8sIeOdfWWtyVWrdxvUahCI3a2lhrGY20bw17mPAEA8zmUYSZeuVAAqrG8s+0qvuuQIOlNkQ1c
RgI/h7qIyQBlHmB4rFNEltZRbHsl5S1t8JzhXEJ4L71vlmFNH8wxsgR7hclpBZKSwlVYx/Wlnsgt
rgnfjNepHl5ZLj2y/NRPCElE97GflYCvqKe69ukYHZA4nXd3NggzdlPWXmK4WkftkAKtRtG8dgSp
v0ZFinyDZcN/LM0xf6TYTz1PQ8abKO0JC+R1js45e3TDqcIq0h0HYeOsSpL7u64yimOkEgLVsYy+
1b0rTlMh2/oEapq0AckKRHxV+8OlINd95/ljT6BDzw9unI8rx7Obo+f2/hvY7fGx5rhFDhIq35FR
yVU7i8qbY8F5s8ZAM+WbuePqXAsxld6dtmj92Jik2taQS6e9qQf5TgqzPnbaLC/QcEeiPd6Ur+za
HgLmSVax26hhnw6g0xivRj3k+Mic4YeHhftTVRmtKF1Cp+wm7vrlxMpz4p1xlv0zIzx1fSzBqZwz
MCGMzuBxLEqmZ0VPqUX2cmkFC4j+M0tX0dBsCOtw/NXc2DTlUtKxMaAGHpO5a59sJ0ssxJ2x5GiW
yULtlQETy7JsffYNe9xnSxyjw9ryWtFkktJTnLtcw/Xy3KS4Y5IbnueSgO7Y5tcqrTkF9EzC8X7U
GHEKmLwwQgNOReiGWCplXNGwambBvKp0q37M9SxvGh+5b+tr2j84PYBs28Ajrm/QkLQJdTicptOQ
9YY6+tQXRrSRldP3isTt2uyS/NuoA/3ToRDhaBpB8eI4afQcQAaA7IXGuh9MwzqWlt3uESCInRfE
l+APdl+pBe1vF0rMX/QUFRlFDThmN5MVNjvMAMaeV9KCiqYnpDcZxnLhMebjHksx33jOD9tTTUeg
pnKe5sDKkEkYIlXgnry4t3dTlsltAbztETqHecnYzmyEgcwdhA3+sXhMyofGDcIf5VwJ+n5q/ZiZ
WCTAvDQUM5SEL+h2kfEDCDVvB5Q7AytDo1SW2uMTiJriyOjYJJxmS5Nax8HfBEUVnpvMdE49N/wT
RF97WxvZdFAeDVYTBTpfJaaZO0fUzhOXPSfhxD5ZcYOf0ArbV9X29k3uWjP6H2zNyJHdsVNLF24r
i71INTVuziNnciwz3qhvEqXs26iT5QHyvftm8s19hDJRa2YgZ9fHMC7D2UpvK5rnro03EZgL7FXU
5DnuYsGeoQmF+vLt6Fs44pu1aW3LsQbtOdtRN8OcuZ2kU9+2VfuGjbzY0xwz7AOKLbYkFNMNmUqO
p/iqsJhCVMW6dHSa+AdlAOGyrUjBF+N5aKXDeUB0JxGFINJUm92EfiI2mErjtbLG7Hsih+I8Q8QD
a8CIwNuhOQD0bQ9tksBRbunK4Pdpdl5sYzkM9rQfB3+vzP2nY5z1l/IApjhW66ZJEtGyLYscx5+n
OIPHb4HhzTuKPobwhhM9OPmAYC8VLXXD2uESmlDbPAsauKx2NJl6xyGX4fif/SC/UF5/8Pbzk3hQ
zUgLELa1SccuP+kf5sm6C/UIwHM8TvAmkr5pP6JADvN91RPlufMJI7nX1Ew9uc3mfCB/VzL/uX7S
WtsJxyexcqx7o3DYk2FQV7t8aUJd/CS5fkeD8uyN3RjOi25Fdg2CkE/eldmrr7E9yV8LuXzorQ+v
GEnbC6bGF9YfVCG3rXwU6Mk/6ijk4N356ptnEvpfRVrFr21MaJBHnH1GlWQp4MNt8AGUwsuOxntd
unBd2cQG22k20xubdMZGTqXkICHV3VDW5br16/bB8/LpxhhHee4yxeuwcLKdHLNXIUvzvhXq5A2W
vxbL0tJb1pfVr01mP7Y8IQ0jFdGWlStEgl9rTxyjrEAxUZpf+HhZBwik1U8UT/86Omn9AI3cenGl
qaFwpJzyV1QYVJuxdTrwzVTxHeIuG+GPYDtfZ79O99avkz51sJz6YX0yAcR9Ov1wippnp9n7d8mv
OQEYlDyEI2+0tsEnvpe/xgm2Se47jELcFmngH41QfFPO1GGsqBXlvWxCMWw6ADiCkgjYMrNQTsr4
4i+TTL7MNO4y3fjLnBNGYxtt/Zn3c1JOAeTUgYlomY38ZUqKooHKhypH1db4taC+13R9L5NV9mvI
Gpd5ix5Q9yNYZjCxTGOTwXob2AIjGrscxrUqiMT86BKXfnNEVr073mxijZpaOb5kruZDQlF3Lu3M
fLkfbJddOIv06rUOK7f4NCIXq1PkdOqrRVXX1z+IGde/3w5/o2LpWsZF2/yP/yZ+Lf3/dJt4JkYP
SzgCfQLZbFGy/nCbdIWb9DLidRJz1jpXxqhuS0xU0O+ApBAW9I/ar/NhHSLpb+mPuPOzMrzF0Bfj
4XCH8eQicbNNm6mZZQMAeKmg6/yBqacsNjZ70tc67xGbVSz1oz1oWgJEYrMDxK3seuNdnoVkgmkO
W9Gx2N9aft4uluMx/FEsAB83rtyjG+n0XuBIZ6VPeb10rUf6du8KEV6DbLRuAQR1bIBDENLqkXtc
Xkxc/QxmkKIN2+x54png0tjXdbyyte8eolg7/ap1OaDy7jAPfeVlVxrezassrd4mO+tggvZgkKk+
CbZq7EjlwiUhkcPY1lx4uOirXzfjruEk024cdssDZZIyIHwxZukJKBYG6M6qXVaGblV8el2jlwNz
x0HSaa8i6Jtn0GFgUCRVXLZDY2GgR9ISFvyOtwhV4Q0ZPKdHAcLELmzTaB/nNATz1rU9NIuk3VGI
qg6Fv1A5bYAx/H61O4JrTnrq7oKA11dnhnsm4YJUE8A7Sq5EjYPQ6/rgAAI0vA9xQHyAQgz30Cri
bRgWoE/ZjLApiH3CPE5/yhLYbwJL0YXV4sxVyaEzSwLc2UFkfAfVRYUsG5y1ZcDxSePEF+x5K/3N
hCa3bpX0Vz05a3IQZEtJ73e80maHZjFE/7deWPGTETXiWSd5gZ9nNvER95pH0zgk9zM+4g29SISS
eUpBHCHxTTHDQqyOiIZEVvKtwJrMUzQKMGn4fDKnGAIl2d3WDW+XFsu960Um93WQyNsqLx8DYu0k
CFhQQAXgTTRHjX3v0n12HuYxy1nvYJ4HOFa0/rVIww4S1yIiWb/0JCyuHfXUv3Qmc5Gcara681pV
ixIVNhmqVBBTVLcl3/tBuQOqVYB+JX4pWY10JGmIwXsGvo/SVQjDoDYvBk+zinl6F0R00+pNsd2L
D+QQLHWZgb2a2+U99ml3w1gzfQtfcxBAbUvKfuhWVU06esVkIIEj0SRyrLMZJtzgWEctdMu5WtsM
110ws2pqgyRNDonvgrybWGA4m5qirBvZSc4T+tdOd1zWu6ljvWq/wn/aqqc0iF/jerlBRIIy5MWQ
xuf5OPaBt6ssklP81M3OQb2/GSMkooYsxIGKneb9P35QIZD+eTvsWRwseEiRDJSWtBdt8w+PKZPN
fMpK1DsGyrmo4E4T4636+39fCP/XkpxPZc5///tCTfmBQa6O2QL8zz//JdyN36Eqm/f2/U9/sf2l
Tt93P+vp4WfTZfzRv5+wlv/nv/o3//YvGS64UpYCp38ucH9r2/f6/ydu//4nf09y2r/h2GXspQ3J
DUiDwXv9Pcnp/WYGkk57POMgSLDR/wNbgqcCOdwVYE5QnD1Mx/9X2pa/scQw+ZOclC2+039L2kYi
/+PFgeSD3G6Tb3ZNkOiW/MvF0eL3duvO6fdV0gaP3AfTHRQDlmKSffmHEczpzWDyTv3Pzpiu/ZfL
kn8zaqxlMbjwi7u+85d/c9cgp2Cd6veu3YW7uJZO9Z4LzOjc0xa4yq6iFGId10P3mlUJ4R0SZFW6
9j0AeHRsDKa7N7MKjiGv2+wt1CHlNJNF+N22JtWusYZojFILbiv9hd4aBMnMte4spBrOKjSAVlBU
PiSRENkCFtsLuIpvSI/j+1SK4BnebR5hWu/7+4lsfgXmwI1v4ghWHE/kEN9hb4luaZaMuYmdfuPn
+Y0dM/QOajfBdadupPhINCUhrew3M1mDTROWBCVq67apeUgHXeqxrnbRvgi13tZ5RQ47AhNLFk65
4TeD5xnt2srA9+aLcY1Z/6dXOunehCYb9ok4tmJMqIaIrn7Uebt+BHNNAzh+eraycZz3GCIJWViD
eOx9VLg4ENRi4e91KL1bZ3mJWRE16Q6xGfwzq160MrWhPIs/WGtnx6KDxovWLFZuRYFGPYp3uN0o
xIF9wzSEoxhoi5L1vsCuTQ6W9QLGasyEAWM2zQDN8mpu6AKiDLYZSMp2+taElHYki0JpacaMC+Ml
35Q1hWSWhi7WqcZat0PsbSmGkQsgl+QJXclHgjQWNbHSOdqmR/KiFxqwS9fRrNCQwaFPZz3TC7ju
HJLtaZh0u7BS+SnKU3cfUNWyqWFg7+ehxrooaABdNZZik0PT9mdl9erQIdxsPMM1LhDgKK8odfww
zRmQqMKmTI0hP4Y9RUs0u9fERO92fJZ+G9v37GCT+vQ2bgdpN+8TD/WS/iTJ9x5jIn9Tne2fvSm2
Pti455+tNyUeMIDKkZSuDN2DKtNbE7cf7d+1GV8SEVC7O1EHYNrGCXG8OkVzXr7kPhEKfJI1QQgT
a/KMHXKA34lpHPmM9ZrrAtJ3y2ue9chiZohHA4E6LTYiFw7FBEsv9Qhy8zZrcmsP9CDL99j//Mfc
MWpNNsA2N5oebrFFY8BMPxPMOJs1Fc2rRk/9vcCfuLNVNKkTfCHQpkQZvbem9Wl/DkU6X/C0E03T
TN0P0+CbR7Nl2bB2sc7cogOLI5sWtkWR6auDHWT2EzNjGy7BjRgos88OZ0XpCClGi2zhnczL/hmZ
hgiqH3iowe4oaEww7HrY+s6AM3RiQ/qzROTYuyw8n1MZ6W7fciD7KtwhDHY4eSaaUBtNl+CKqcZ4
8N12wLKq55u0oSaNWJ2AgV5oM0WZyAhWdyKGvhNr46auTGtX8R+5dlTsPXQzsWB+vrxBPDPuQnv6
dFX60eTRrdUn+8o07F0HBG2V9yI70Lsp71j8xxttd7cE0skWA1O8DVqcnLNlMAaa4ITz2WgPSaUv
hTs3V52Yn1FquYjvdQ6SIVMHiH7VufC8dCcUvxGbw2qnci++RqHRLoxCn3DJKLa4cMqP2a05GuaG
e4F/St9cjjJyG4J5+8pz0DWreBCQL8mRRlzAeOlwrEw9uj5mng8PNPwJQ052w5bzbvSIC0CrtFq5
sYjjuz91OS2FHF450eJB6y73pfGKwYD3cUNM3bWcb3BxWFCxcLtn1Df1ipy0v2mduD/N3fyTCArP
j6a07V20+MgDMXnnnlSmY6cLh3hkz7MA8o4ldKCrYdJOQncC8BqzHMIHL7NT+dQjZKIxTGl7TJXu
f7RGjliI+S9dVkElR+52AtVLBGeCxUfvKXZmrqywNnhaqA+/T+gcLhz/IP2RX8zxTPiHA58GEC7w
f2V04/A9rnJmSfIPXMBE5i99aDeUo4SHLhO0OOfOqc0i2iqEG2FOcb54O8WXArzWPqsJ52Okn53m
CCRzXFfANtW2xlRBsXOjrGJjTLr+pOkaNY2sonnLjEQlgwiTFrJwbSQjmK1enccIjM2kUrKCNZYO
T2IaJve9n2I5Emfihtk7uvf7QwVmxN72fe9fdJvmzx7f07ofrfowUSlLdsu1r82oww/WkJb92Oic
x2w7F1G7KVu5EC1rmhI2FacDBlJq1bdpVc9nRQR3nXTmR0V0EnBVM+8zYfU3XhxsRlRdY+yqnKRa
Q/EsFD1J7QXxBosZizkNi5jvWyuh4/ZpSAW515AF4wVK6EAS1AUvlvWDJmdZ3IdUaQPzjOtNU+XG
NWspGhyNAWBiE5Ldt3dmU8cbsqbWRmg1bZWCQOlxRvft+ibRvJmcGlp0Git+hegM6OlTe+MPNlD2
cWg8jgqmmI7xTOCEdh9xMMgPrWLE6Y0QGXCybNyS2nX2fg+UKcSusZkj2pXKaKS4zFHPSgZqq9uB
CyCEAwOuC5Znazc9BMg5esjHaloadHbGEG5jVqY7cLaC8T4uKPhsrZWJyPE5KtGyAOjbc9b4mIcM
EtMwwGnbaLRAc4RFWnksfPmGhi1nQbluUPg2/Th/Q2fjg8x/1U7ywWa6CM8UppT7sKm+DU5kPLGF
rA9tQOMaRw3WKS7hwZLe1D1PIJ/iwEpt/bR2tyYlkRunsN0D9Cy2r0lwbYyJ2zcX9h10CTzxkAfW
ou5He0+DZrxNR0/ta5g1KxjD5FOa2HZuOC40b0vemIxo4KC1YMC5smUItpDNmMsg+QxvuKiyBw/W
6w3w9vSrGR33aPDKOVp9MLzgVHc3nRjLfjc4ZkmWfuww0ntm+GVGc3cgb+uvkzYDwMZrNtwbvc+O
uIwt4J0GyIB1qnrUYoUmMYpEvgdWrW97koX4KAhHrZbAWcznLdyTCnJACz1tnSeFZeVRBZZzY/q9
9QRUNvyZNSHAakq+8z1bwjjlwWTByoXbcULLI5kJUYzthTTiE7cKqzsT75XalyYhkdwUAL1tsEK2
Y/ftKp9oBYhEpj47ojfI/3RMlnwJBSZ63zeeEPOTA4i06SYZk3lfILK+2pSX3XQasOlq5vhAF2dB
e2EDmvvUmjg1tk4k56c0maafXeLm3KZ+mj7UBCkegqiscNvHZH852nbrgaP9LsEh8+xPpXkJo6I4
RaFl7ifRs+CYJw95lOtAvca2JoWbmxlFd8b41A+5fejJw94bgWw5Tbq01Dalf85o+bxpC997NbKB
Eh2ly1dph0fKVh0iEupC6tC9FT5sha02nJ68V0pqlhpDs1nzxGNHIOb41jYlcFuvrvcl5H905jAe
ySQvTpyuGTEEEIPhYkrJTFzCwIsIjeJiFH3BgTGf2gcXUsTRq/gJCnbO36TbU5tS1q18CsOB8NFs
ENi98org/QZ7op94gFnuhh3Bsi6lhTSAt7pzZTHvKObRwFtgqHhZ8J7QmLo1BIY7bLrTXvRUL2nS
k58cWohSEPxBF5gXKb8bp2KfO0N9rHTfvHHTzg8GjDh6ssYCHCH/Et8w6ZnwgPgD+VNrl9z5tYQ0
fhkaEi/vpRSjvp9QbbNHtn7K27TVTNOn7hjwWImoZKDkqB7Z0ggkJlZMLQxH1++NvVMBlMvtQT2B
X42/MFEI0BCuKrcz6u2+q83mHrKF9daVgf3UIddjwakF7gsi4PM2iePiUeVG9IlRNjkZWMjetS0W
1LGOY76Oyh0fTA6oP2sJJY0mCFZOeTxiBqktnhUzTB0ObI3FU81ptdrjIuSRXTeye3H5ut+pprC/
Oa7p1k9+brvtJSy1LbdzMgiSaI3P/ZMn9RZ0SkJmE+7u4stRHlubzpriY4WwClZOGbRSdk5Tb9t8
cskppdy9GHN9kGe8D2+wWC4iv9TVRdVeRBsdnrGzNiqUEP4H8bPsK3XUZSffsplNcIHPEZqX6N4F
IxEA3Eo/1I59D2J/o0YoQRVa4007KXKWXIeLMmm+Jx4ZU1oXkuOCMgJG2BuvVlXSD+EGk/1GD+94
6tth2vUBJVxilu69sn1iYpYaQ9wf2VZPVXrkRB3djsIeDrqBd9/xEb4DNehv29Jwr3ZU1bvcgCvS
IhjHXjKd8Chbmw6swkOBR/ocsKomlxi0pFwJUiHs+hpQj5dN4U1Zw1GyHS88q8j/jir3CYt6vO8q
M4SvpmssG1LQ49q4ffBFBSEJ1i6Pd7Zw1aYfBOFNP+hehoQ7JzOK9iXJFOSC0ZXngj7nE8ni/D4F
xqtsPJ6iaoMHzXH2CtkIqgu+tZ+2pPwP54qAM5q6T+Su2tOsoA7REDk8p0A/Vw0FixdCgMm1nGsJ
+4Hg8za3qvZ2DG02yAb9cQTGovueBcBGVnFZYZMYqmvHTPqhJ2HfR3nR7iayt6vGL+u7HnPAsfT0
S2eOcbkZfaK4SLWyw2IX+Ot60W/Trp3fI2J6K8yKixGKjOFE6fNrT+/vue/ZYpCTDV5jT4fff8Hs
HMU5zW10/zAphOSYs9gFxQ0bcBO2585L00e4VmRrBzJ2u9mojJNEUD2HDZd83/C8x/vWfY/jmkaW
uY3fJ9i0DttSRmqr6L2z7zGsrfqJuwu3qbmhdpWWK1g4W39YAmMTMxZS+o56uOQMOyB8znynOTlV
mDyTzWdAjdycSbAvNj4OHNgJ0rp6ED9OoUcPMt7W7AmlWJwjIy++7GFkURybhXjyOU+yxOedt5qK
UH6i1jBhdXVe35gKXig26kQdDC40Cx90b5BWQ215wZXFypgOueqlHStN6DIYLVy4U/Xk1aJ5Twzy
u2SdO11A9NLFa0OJ6vvQmhlMBMXz5aYpa4qFefo9z3QzuLcJtCcYg25u17sk9cN31Q7MV04Xy4/e
LdznUuTzgj0t38fBohaGFNkLG3dcz7hbbhUntaXjYEr4gZJ8kxZ+tosXy3hg8PS23No58Ek2d7UF
DYTcdfve5V1/Y/UaVVn44RbHa3Ygb0plM8SI28bngVGqGH3IM0H9pLnx4NC7Aprd/N/sndmSpEia
pV+lX4AUUECBW8P2xfct4gbx8AhnXxVQ4Onns+xsmcionKjuuRuRuaiUqooMMXczQ5fzn/OdaGV5
IY7vsQ6rGiJQXbVyugmMOHH3gDFBTFfX1hvcetZLxW0DHBC8ns/RdPxt0JnzhmbuSa6iBX2dFPNM
FQd3yHUcpe4ecLeRYBnWEK5HJ+JCLZDOyy2ngO48m2PyRQSwLTxyC5SZWgs/A/h5DHk+UGsjjqsX
p2w/VZ4SQGy9uXpfumj+rDmDHhLXYBmKjAUHUluv3dEwdnJKv+UxwhYuNLyc8zs8hBk3MM+0ZoIa
6iQzr4exFxaZ+kh13aMZabEjTWic4qz3+TQBCg0BMHBDUgc3kPBIBp9cgXJuIzsqz/C7BA5vh+Qg
6Pr84PZVddJOJQ/phO+Qq4TvHpeyG6jkS+zrNlVuaXHBRuEVOFcCxZNmLKcJhNwljedkjejBoCCI
zG8JX59vSPfgH3Ky4Pz9oj3JxHQvIzeorSzs/gGw0N28JLheAS8+5JEB/bC3aDwDxa93hYG/IEeU
wuJg3l41oS8m3b+0Ejbaste5UWW3nOywH5isV5eEYSxqFx40TDiJE4cUGNtkeKbFQX9byPdgunih
o7WQq0B38p6jQUHxRJJHtyJL6cnVntr3TgIWo7BBbSpKDpgL81wWDKn7gnptWjJ6SrPToe5OTnfl
fDqDiF7beBRb1TXqSzbb5iWrByAfdI+zgONpvbfTob20vFpY0759B0nAvpi4mxDOGM+eBuI+e7um
W1Skszo1vdmcUszJD9Iqmm2loaytRcVzOmMJv0VcU/3GtRVHGp+A7KYdjVnjvWyyTezMHwFAojXT
bTtcYmF+NxZMb2O0RI+SlQliyyActiPcIhTeEXXIBoqsXHO5DRTqWyK8mgqRrPQvE7GJ+8WYKLTD
9MQfGXa1l7Q3v8P08I6N22TPdOGxCuI1atEbJegaxCviHkajbrkTiBeZzGA6TJP8CLDoPbmZT4qp
GINSPcB1z6LLVBjPfj+qVTZTrmXNZcyn2SQTzL5iuvciUYTt7BuHvpANvkazDmejar+aKQcQI67T
tSozYMiBIsiFSdQq29vRrPttl2NvtxhpU0aFfZt6QL88F5OntzZlIN66SjIS/7Mf9RvHTnjGa/BM
IdF2RoV529EHRvsLhY+BepHA7198TeygGGYYYShXtF2NkgCMV1TYaBydNk85PhhziwVvmteLN2bV
lrCMWZ8IMwok2aamTahE/BhWSR4br+AzFGDmBK/SyCE6Z8qejQ/LnHTpqfZk+kgzE11iRWAg9i6u
dLEBtunwmXnlsmOAK7/mYpEP/hTU1tarCoMgSiZlsXWxmaCEtPhqwOxLQYU3yboHRVldHuogBZWV
+0HzOlCo8m00zHkJA1+bzmFSHYC6Ban/KXWW6q0lU7Ezsqq9nYCixGSJWnU/zjEFHAIE212jEeLs
0SmZQvVf4G4Bf/Ox0FpWEHw1ajvZNvNEHbrt2Ufli/IlUxkYjcqfYJPIRGzmyioQUvoD78KyUWYz
0UmrPB+bYlA/9v04rWn0Xp6QL92jTwfUnT1LJIZM010dD4uhVj14l++oBtIN40oEhOo7RgdYPgwH
TxzFOGjIVyt/XE9vqS/ZIJBQ50tfOt5mSO7TxhuGNRbU4Cnvo4qeHXJxuexywAPedIkEO8Fesc3g
5VuS/puPlboOIV0PkBbrErwUqrN7j4PDhoau5wJuujcTn+5tlNr1WPug2W27pv5mnsVd4QT9vT2L
5RXhXN8bcqiAZVnFLq0ctetVYz/bZL1v7QanV0pyxgScImYqzl2QkAOFS5ta+/Jr3+TJl3SSxak3
rPGuM/ByIUFaiXNqCR6afAQF/0x8y6UqnlNW2HvG+DYvWHMpVa2HbeJO2Y7eoel2CjqnW3nQxujC
4Y24r+nYMJjmMgKNrMQbwhSH0yP8MVy2hEWwiKQepXtGxAU6kIvLdqrcEO8WF6mptN2brrbUQxvX
JqkDu7qdDReX7hyl7ZcFo/mNXDLCCky35cWEIIeMU6msAlXdWs+SCfYpbQNJNK5NTTzeMLMY0WSl
dwQVGH2kebm8NwEPz0YnHNgw8rWYB0bCmADWSBLtlm4sXvm2jWNYFSk7AarndAuHJfrQRn9d4HiI
XIt/ycPCfLCtfrlQLg4pPomoI25LdWJtZwNSgfldORBn1gG1JTucDcazNNLmfpJw5SkTa8+O7scD
qN/hExv2FUEVsHZqHyo8BULT9ENmUUlj1rDmDlFkIT6Lak+lsXd0WbfXo1cXj840ukfiDDbc/nn4
XmUwmsJF0gTbFGa1z/CsckaLMVtZDaiATQxk+IErEup3U6nnfLT9e1I0xcfSeN7jIjr+0bEOqZg2
lBgUBle8aGbckXrKAOZh6s3Ae/hYwfj8YAcqfSr3dPAEu8yOwqrsRLqpVXI3lJ56qOvcZXrA2gJv
aXCcU2D2/R21g8WpIUn1ZEU14cJFendywje/Mudy+Logq1035FFcYLupbeRxK1nFlS4eKEbMszAJ
MgHSJKoBYueM2BION2eTirJ7hlvVoTCt5EEJFy9/PoF/H1uuGg4x8K6D6bAkOrotx1ke+WsxDayt
8W2ysPnxP9+SaMw3Fo1j71yZ/ZuBQMTdPJXfW8uFkTjEYZsA5xdZMF9kP5ePKVSNXVd7dZglweOc
0jGZSwjVK4l0eaDYxc1wqxLoyIQpn2x9NfdKj4dnbojBFjzXq85Qeott5jqhGVA4jLSM6NjK+q9e
Usu7CAsxHmHwaA8OB3puAoWLc9cf2OVG/GHHdHRpoJmDWH2hfLA7M139qDu8J6umV+5tEgvvomXt
3E/IGV8rz3fcVW5FUKHjgfFNMvBt0ubV/zJFV/eTH8YmmgI1BeKzqaKRrnUirVVo1cpIQ2T37loi
rucydDkinAbDq17tmC0L+ClHlgSFM7cEuTaHaUsNG6N5YZ7aH0re303S0kuIf8xfm5j1Nj6wsXpn
2q7DbhpPDK36vvwq7UhdmB0Om0LO/ueoKnXSRl6gBVv+FxMjCqi4oYCUkptjcBwil4OslzG3speB
G4wAyHtSQiHllK1N1WWWIPc27nvjOpUDz6oHbmlAIXfQSCAfoWNccPeyyAVeC4uyV8mjC8BpaweW
fsLA73yv9Tx9Szm2PrUgs7A35tN1/Y+q4SyDDBv/YsOFaiHg0o6EX/sFiZSjyUJv6TXZxWI8Dr7H
HCbHfRrCQ04uIH/Nb4VNlfVGNxGB5W5m45qrQB6i2jNP/FI4INmDJwiP9niY3R7yb1bF9aFTLvw8
aLyYxLKomF9b0HPMbah7FKJhz6/apN8AzAUeU0e0kK57j3rIIY1YvXst8qMXSHWMJ0XOxM1n74Nm
QmK/0mTiR4CiZrcSaUNwywpm8lRlmlD719t5z9ecXWwFDj2DlykHuz0H08TLUCUM1ErV9GeAd7Oe
i7FjjiKqHDS+N9WrPjKMAyJ76a1d3F78H5qHbhURQXhmZktAUDMQ9cKyct3v7ZhW+FyJlLN5cXYp
2C5XkcvWfujN0srXnlimN/RmSpbzDNT99XZF+gH2WhxMfegwH6SFwszXEzb/ix+M4nvu1NdNjDZN
jMBdQjBqgAfm4iIIA8Th01Ka1hEP5XQzk+ULgQIgkoPrXTGmERvflxZP1ig2RqbvHQNlNFGa2zUh
BQ7h9C9WxcE3Kgr8ckut9dyOP6zGzSiE6NIbcV2d44WKeo8w5NnAAxRGI/+Nonu4UtagzDfTaNMb
FSdkpzotNnVvYkrHx0buzHb7t2RolvtuHKsz4NwrvcsyNg6Jm0NheeYHLkpvEzd+d6YLI7mlojzr
wibFdDkUevlQsZ3sY5qGD91CaS7ndWTimo7b7f/c9vPPhp6/2Xv+e86g/4dan20hJYaW/7M36Om9
TIv/uHn/PvxMYvnrr/1lDDL/wLhm0wQXuD5EFRuz0V/GIPmHsAC0SKy/MCz+bDr6q8/Isv9wAhM2
CkQKqBZ/2mb+Yl74f0BNEfwtuOxXx5D5P+KwYDD6mzGIGLEAxGILipWoov8Vw9JxSB4kx5ZNGjd3
VlRyA6AWCEdhTP8Yx+U+PzpqQuFUgD5/eqfu/tVZy3Dwlxf3Id5LNxC8Jzx2/KL8+U+WtcmgH0V7
UI2otVj2Uc/ZzuiTGQcKcm1PzRsrRCbOqRqTHfJnirpqmR8VW+ImaCYKZhIOFJpgwDLdjAQKyX5N
7qnqiJZ0mKCPbRdwH+9UcLFTRbNuxyh8H0Ekn3FSciXpGu9+DEw3vzQls4RWspMnNpofaaWb0VsQ
LfEcW7dwCKC7DVIxNC3xBaWsl7XLqnQFlZLJh9p44wHhfWIkjnWQkB+P9BwLRifKePIWZ+L2WAe3
2qYFkF3EucS5We1Sw5ifs7R10Hvol7YQMVZJIYedmE33FORU5FxBcofFcRw7nDrjainwEiPfO14r
zp7bSoXUmg76QHtHbVPlC5Vr53h2tItTckEdo1DybMnsf/UjJ7NptGzEA5tf3ISKSVpCMo13Tdnz
fmZufmYfMvY6b5PyHoFm/AG93PzC/YPoCe7gag5N+Bcsq0LrNx2zpK0MX5ePla3QFQ13Q1cKMQ3R
n/yKAyFxrT3iqNqPHbNsHFJf5WAGF3NwJsl1eWLWOaiBbSnPQFwxspz6/VJO083QoFIMXZ6fRn8q
d0Ui8x1DKH8Is9avzxUOt0PCjrO3x0TTg1GT94oI2KbdsGyV8g0GvnzcysrN96KSJm7ThllzgOEB
Lww1rXOrzwFXwy2D8OZiG/muxpyHGQKc38rDcEF0WWWbgCfHxaY/WGe82EkTlldGATJ21GwxSPHx
g06BVN04h5iA2YqEFvBtMLZr2Q/qVcaW/4rCbBKjbPhOx+7Jt1p7pa7f8z5G8WnB3VyIrQZPo+S4
nJSAZoCmqc11FMkmRdxoFbeQ6vgE1RN7Y0Gy2u3yRx+F11qPXP0tRI+A8rw10HYLKV2l+mvmDza+
FpRqk7fYrK6jdhCEGxAHbr51lqUkCamFM27LFPiJX3n2t8qJ+gfTrgADewxmd3Plz4/ajrwfKEXd
o6dVgE9SCWAZyWB8zVIxndOhdJ7sHFTUeqqn1rtxEloCNtUEmWkdjW6kt5Zh4NwJXKQMDe84Xk05
178DvA39DQmArCf+NnHOOquzvvo+J7vFc+cwcC1svHjmsm9q6oo7XWb5Gg5s8aRS4e6RZg+KSOMe
CNnn0huoJ9h8YWra9mdce833dFLZfo7d9EKxQ3LAUUKxe9Qw1Ypbe7zhRtrgbEs5XAyEUZ+lFsFH
huh5MGq5rA23MMJKYbgLY1W6eyIboFdSS6nLAhyTqFLVvdoRUdBi0NYN2Q/3nSlztR10nX4K3JAb
Tb3AQ8VY+5FuMeu95CZ0RzHyQJ4i4i2cfPUc0Vm/K0ZKvXoucW9J5rYvNcCEZ88PnAOHEDjNzdxH
aze/4puHIde7BjW+QjKlMTxMo9TqPgowlPEpsbsYeE5W+M6zIHegYVH00Vu3RBSLzsknoWDp7R0O
QMTAsXssezCrC1CENMPcIOstKVVAboG7lD6d3d1kcldoK2q2JjAYVEEE3XrKxvSdb9o0k2BOZhYk
L0hNSphYjcn7dXGY5HUEbQGxo0LZAB8zeK0XEOqay+Niz5batk7Obcg3hH+gBs/66hpucDd0y3ho
aYt6VTYg6HVmjJoOn0rTmhxFtDCfxtSImPvAFyQmF+hTPLv6ZcjIRh4i0aXRuoUMfm+1GUAVC7L+
JqIf451m8uaGGDIMD8iJwQYp9MusjUqsEaqiXTUWsFWIWP0Apz1StVuT6fFoxsZHMVQc2CmQbFEO
yuqNL/8Sb8AkTXGoZ5rQdnnUc8Mb3BYtpcUXQ3IZu74Khx6LDqJfY32ZmhHEQ4/ZawtMpaK6eMDQ
b3C7djYeYOTX0mnMtzaF520S0PtIB2K5TN6CddAv3RauM0LpJIPvyl6IlULozXYcGHFpWnKBTV8s
UU1EEZEg5F9LSWW2S4044zE2Z0iRkPzloQd50bf7Oev4AYC45DF400VHK21dBbc4z8DD4O4hMrAM
DutFgn+y2NX5TANvFAP+CIW0l2nr56gcu1LWvoHrh30HK3r9wtZDUfpMeG4I62lsnnNqxU55R+0d
HxnJjMzvt05eTGd4IGx4oB0CeB9ef6SogHsacwOjJ/RdVnctvbn4xHgcaDn0QlpK3DvkiSTZBKVn
32bjKG8sCCRhzKz1XJJBZjVdkhNNTDTp5viLVmj8Gd3N8ipHBcRfHgwLkN1ak52E4jNqeqA1E41p
obJpE5uB/z2bwXABh06DCbBJoD477q23y5LT/mX2k7FVZsxJKMCv9lY6o7P2EYzvSXbu7F5Od4m2
gocl1/EL7AgoG9jdwoh8RLki/4pcWMH8SIixnlUSJ7fKUzy2RMqc5wIU/AdNfUi7edpd0UYxoreV
wE3HzmQzMnTc7uIvyRnc4wYcJxsyvas7x6wbThAieRqnTN+MS8NfTigFvBG1Yd0VECFvHNCytGvT
vfNAlM6kDLY3T0kEl6Qs4Z3UxcNgJDCl6sUiACm3qUmyggPshzMa7lrL7jafY9oGryRkJ2t4Pf6i
3I4RQltf63q35FKEZdMkW4d2NXUlcfl31HJwIZaKqoQ1fjABjF82NegC339jlyN7g2I0cw7iIPRZ
gt29gbU6cbVK4f1LkV2DxzZl4NwW+YEOImGcuBK5g9lEDd2PYV78fuf4af8x+AntsWV/rUwYu6bZ
e0R/zzndFfBN/QLmCZIgTPliRH1EQi0jfahSCTmFRgBOazllWI8OkK+TmvtlCMm6KJ8jHxafbTOk
wytgEvGqW7OA9OGD0bkeVeAsyMGlwND3HTSf1pSoarl370AkfrEoDENAGtP8GPs2ZtJecPradMqs
n/HFqmkDZIbnqZyD4K5VzXKTmx2kmcpznjJYW3tTiOzWjqX/Nikcgxh4h6JeYzeemkNEED/nh5b8
JCMLeAPypkDcAPnf/QhykSZbwvZc922dzY8urNsEgQZrQljNmenuzanuzgNgLGAhcV2fk6xsPsky
8TJxZpGK53NxWFcVWP0Qnw6LWDpqV527ltDZbYXho1h1sYFQhEMAeJkTGzOoaHPyq3XG3TNbNTN1
zquMIEyxzjkQu1t3TvCid5gyEXG82NxkoxDjMZDt6G8tCxuxT8fwcRi9wufYY06cgK8sImt28iOj
cdqTA25FT82ixSuykMSIEmTj0XI6+1RayYTXOCNGNLJUPM9NNNIBLJEQ6VTQrUbogDy49tOg48ja
TM2Jqg7jnTq/dKKKZPEIeJkco4hwVtzCBTeHcdubEsYCn0nQHZM5or+wGLOXbgbefEYZkT7zTx0f
ipqWz6RrjR+mlUXHPLIwVZrsKgcaSVmKa+YAb7Z2EKjpB+hf+bQbaGYLiGRm5v3BZTFHTinEaXHi
joNO1J+BXhQpFta61jgL+Jz4IYZwghdz09COnQCkiSOmYByPhjXJR/epN0VLucLv72O/JpNpzATM
aEkP8KfrW86fUY6frmMUelDCkjoITExm8ejG3yqcRa3VvNlX+I1bsbF6SbDmkPlVUW/1n9mi/8zt
/MN98Iqv+iln+efLS/IzDqc7k+TLL3irPFKCXKQBATjCB2ksTXXmzS9Ov/8t/7zR/voyAUEc/Mm8
jnvtK/750jmrZRT0Sw2bMe65E45DQ0GOYRv+3kkAOtCp2pRiJQLI6hXbk1gLugYIHY6FfrOm2T0w
ZEQcbMqeMJ8XkB+G3i8dU9wYupnfhOCikEIIJ+XAvtjfgd6vo/+vx/z3slqcnX+rx7z+UP1/rH5U
8XvxN0HmP//eXwxS8w+TyBdfMe8amftJkPHdP1BpbFJKgfWnJMNX8L8Kpr0/SMV4iCQegsX1jv6/
k1pXcinRL5+csE/OieTdf6XV/vrW/65g+lqo9/PXkwJrOxAyIMkHvuBPdOrPX0/PMWII5dKnHmTI
ty0NwjQ1yXTtpjlxw2o+/P5xsK64gV9ejyEdgBOPdwTs7y8QgExMERpTgFctVwBBRJ79wP/V3o9W
Bd1sxoNURgvP48C/RQ31PGKHzUhb4/6JihBtFwb1GMHS+Dc/16/a0LXIW/isBnQSopxBdv3bY3p1
HDgcz/wdbsevfcXPYWkMk0Rj96J3jgGBzV2NAWwbpcW0TuaL2w3m8fc/xHXF+fW9scHEmSaXNiSy
X34GbAIymrLB3zW4JXc4b6Ojzwzp6fev8g+fOPxjn8GeHSDHBdc//2nZ9XiTEd8zf2cTDIVt8uqT
NdvrlLaxVgNz//2r/cPv5Np4XvjEyYryRfr7q3Wig3iT+bAtKk9uJ38qVtnQiH/zKr+m/vj0Ap6I
gCJKMocIDX9/FQG2udVu5O3cpOTXyDGhVMXwMJbpx+9/nX948wKLgCEMOM8levnLC4G94x29fn2j
FEdOaWSfxKVwTdvVHaCjm/+LF4P4hVbruFca499/q2lwaupLHG9X29SMF+yhq2RknFAuBOimTO5/
/3J/kgV++f4RJCUB57AisE798lmllu8snRdDqTU4A1KnEpy1F5kPsDzloS6THNB/K6EHYtVc6qwm
3V9G33BPVStd4e/Fjtft7Koc16g0MNhMl4SntP1iTVB9uetFQ4eAn1Rk0bhNM48ombWsumbhflBz
kApp0sC1SmcHof5M3ndl2f2bTf9XuoJz/aZAIBEB+Fb/X7+P9DMJ7YJy28UVDOXMNfzDPLpm6I3u
swGFvskidai6+NOzk4bJSC6ewOv4/+at/qfva8DKDaiVox+e/r9/sl3GPcuNimBXUFJ5mBzSPlS2
riwTw9fvP9R/fSVUffYP4du+y3v9yyslzVXZyQJ/50Uw3KbBx+dUl19Vgrv8968ESuZfn46rqM+M
AdMq7I8///ynpaUtLdvwhPJ2DpOyDajUdN+x4t8xs54eIBEWRG76J6bL5SYbeuynvW+2IcPEhkN0
Pel9oBq0QI/zKH4LVz4ODKXfXRwae6ygfRHa7TA/Bqp3znhy6lOelOmu6hLgVw0QABiUfPhY4GkM
MUtvOJjB7O+bxJG4KTHkw0qhG7JrxQb4Dx3a7WDCtHJpX4x2uhdtGJdWdBmQxm4p75uIliWKiuhx
Ejgk/PSWDozsnZhHeXBInWyupKn9HMCxgJDgHfK2997A8zm33PrT/aLIeBk0emG77iT+KhFdrGwG
+tQDuImaEptl2qGLW9xdyT49OaID2kxB37sPqWwVJ20lUGJbvBA16EWvGudtBd5hn5p99miYTXvr
myW65YQEts67CRv3BImVNqUxupBYi16SgH4GgMb+h9TXWWlk2l9yI3ulDS0gu4H6eMr67tYOOgYK
ZbLGW7e3HaPcVyNlJawAsXggaw2/y06kfzIdW90u3AqxnbZyp1rge/w6wJlHrmUIlFjg4BoUqC3p
hFsD5/Q5wFFI+jHHREtCJxo8/JRtuitQsX5wZOI9wZlzThIm0HUxWETOImYTri0GrPeOerVI/724
jo8iWrqNwgzbmcELx7aZQUgV9GTsSucwDORjdEs6tpOuc25HWW7q1uQWk8akqoGhsPXj3+R2vsoK
B0pCPl575eOg21Y+n7dQI2/faCikVZlrSjgCcjzmaKUbp3HdL0kj6K5htPSFRKiJbcLMk9sxbk0X
IhBXCXwUJtd6Fg+6OTpnhpSYlzp4wQLaFy+2jYw6mmb20boZv4MXuXzjA2Ygj5AvckKbiW4oOumi
Y6m6kFid97nEeJRX5gAvZ232dpTtfFppFu69w3wWeUmLiexlvU7pdOcRQkJJMN3vxMIBh75PUX6T
tjsGq7gmmhY4XXvoULZWdpwP+zEyp4sEEJOuMicOdjW2X7phaeFZ+1V0kw9TvMe8h+KBmYafN9FE
OTBxEVUP4aInAUyidDlDTt4Oo9Uek8DtTnFflY92pbFtpPN2Ijz3JMxg2mDx77eKn22vjTreBm0f
7H3XLPl8p3Id0xNJSypGa9pqi0Fu6ZGzXkbb90723P4gGdRu0qFLOZ+27dcgAi7FAdVuD4Z1pUMZ
mWDKNA7pylqw6Rqoceu2AMGek6jC9QNPCwUZS3PVYS+CIUN2Ny3fzS7ObrLK0nvf7qLvuQ0RFhap
1vdjxqQONtwIjcw2KV80io2eGQgaE7swR1E6CTGSA79R857OtnLXqQEHtYitLVIaSU+GMtPIAXFa
LOcUCZ1tJo8eo27InNXYHJkS+Jja/RYhctFMbuHVUGgPHnyGkYbdM7418lmcyDEH7xgF7WexuD3U
9th2V0gcYEOqLtoL0633CWzIDVh1HgXfiI+A1se1bDgcY/mDYtiMb3Rn4u2sTfyWLk5zPQwDqPul
uvQF6eiwcfSyrqvUAczeZQXDKMxhdFYSiEDCXtnucqPsNtmMmbc8itZTl2bJ029TyoprEpMK2ebT
Xdvm050aa33I8Ii8Nfh+VjRaB8+ydQAsdLMBXckjAkrz2kCp2K5W5RQGVaTCGGNSUT4QTSsw9pTy
oAcAqBG9UfECxKEYfGNb21L/YMABOTZvcIzxrBnWG2kB++IU6qIp78HUChxu0iYkOGe2zkVvU2NG
e1+x7QoPA0ZR620NZJ/hQn+lSklGrV03PhB6rNJt53hqVfR4VrLK+JzAxpTac584JC07+K7t1Qb6
oiXZN8uSLjiX2rrQLnnfpN3ZznBOepaBV44VfAex590CnU3N22aCzMwCFFNK5PS0CntqnaSLs5mE
xhgyaPum1UP0UJlRufGimByf71ycmmxG4BtE3GxJZ7Ue2q9RECEZzgzf5Lzc4XT2t5kmkL6SRLDe
qGBE8ivieUsOJbdRdAkIhE5lwEaq56p55lw23YsqtfcMkKNdl2qkNxabG0yUzcpqjeAR4L37pQv0
2K2ho3a8G7KUE8t5S37YgmvvrckBRyaDni4fN7LmHVkxpvDuCrdCsYtZvF7HpFPfhEHigsB+0NE8
jWnV38oKaFKvls+ZJDzYqWv8xRve8fnT4D13y6r3aW/KnI46XTcAdDUXD6z9a5PF54aHsN0tGfNU
YQf5F2Ha7ZHcOmbKYVkQ8K7B3iJOAGCTKrWkz2OsuxOTqImGcedlFMyM4sB4tgsNfYRN/k6Sg9kq
4io5fnuLgGskNd/cXCGZeU77KKT56KWq3ddNBnGazOm+pyPsOM3K2YMrg1zILI1VfqiYNaL57MZW
kHSoC6h2FXaaCCWWFBxp4Lkvxd3QFOm6ol3jS+07agONGI7rnOEbYLWAAlV/siEh8mJL3C/SHJ9j
2D0VFEdX/4Ae5Dqr2qzKNZNtpPElMDkzuvPWoP+ceWRdHnSqPmsh6uOkI+sRdG277cz5Lu3G/Dgv
LhphYGN7sixjfBnzPP50lxx8HZ/NbYtv7sBcP9oaVQA3jiqbrQLeDytsuAGWG2+LlOQoDD4QA4zN
IfaO5rTToNlCKEgZ0TrznkoLP4RGLrbIWdN2iVyouLETV8fM5ZvgT8LcWjYYf6K1y7aeUjB5TECo
qiiHVId4+5k2okZ+iElAUKxE3m+rnnckkFmxi6rAOjiYJZlxyFPuDG9zN9UXBsA3U1Gr727ZDEx7
bOCWFphN7oY3YCPVBhSmereVdInVtuOhdOddXhsvwE7gJgwLGWaCz9WxjkoaxpoJPskg4X2qqae+
gqmDySa4p5XtWDGzeXaaxF9B9xTrNhi7722lF3ZuDgXY2+o0xAJFCZpgbb621914TRXfWyOYQZzk
VIeUwDmhVKOxI2SMd9gWX5vrwIsCjXMiRnhks97UCes2iY6GKe+07moMykxPlh1pOKK/WOUVvtqL
WDBxijRN7znYU2cXZ9F6XoCSwJzyBZiB6kXR4LoF4rkZc8wrMt0zNO4P5AWYWDGcJN3hEeAmqsPe
Nzn7PnVJ4hsV2RxQCzVAUBi8MxibxvCPQQ0JRtgpmZCCGRCMhnbICc5rd121cbPjKJ9v/JiRrEyy
aJeQH9jBtsYKUl5bD9zozSvpemhMnmZNHdmSLXvyUM9zDypYjeQUjeHFz8R4l4zLmrf2S9DDdbMT
48NP6xdh5xdmKY8xxE8c39YtqYkfcf6j0/64I2xKI3Qa08dCjzotpeRAvHMKM88QzFkK+G7nojPO
Hd8gMsNBvou0jaV18rJtDHaBXYoAcDPubNmWr4v9HSmu2PqitUJg4CW09YZckTsbfIAqfRrqVLGK
Vc/d4r/INuM/7XveRF+n2j0nVvHFEW5/UsyRwqHosNmXyXMigr1blk/az75Uoj1gpi9CV1U3tsz5
2QWkDNmM+KDJMqz6DD1eGEO2dlz0i6QVgGR0u9WyeMh4qg7YT78hOxyknteG30JUhEfRt4Ci2yyJ
9lQBjbcVNK7bufHUj74oAkQzwPqRUR6D1L3O1PSyK3X0Lbc9LuZc95/6a4f49ZLPI2u48iNZrGZb
KnCAcBu3HQUZxzkvyG3SeH09Ssl249iMHZPCH9aK5pW1b5HuwHxzEQ4OU1VNnFUaOH92qUn9x1wR
lKYiYnANzjD8wpkAkjIJoG4+/RkAjPi8ubfWK214j76Mbx1bU4ohuq8jbhfVc86vJKfPMhek/CLW
fJoAwtYOHpLFvthZ9NrP1U1JGGtVTXzusdGYGMmL7pAkS8OmXz2bPY6obgSNM2XNW0Z91xriQ7NK
62+e4bzKwuzDpWPPpmiAD+1/sXceS5Ij55Z+lWvcgwbpDiw4ZhMRCJmREanFBpaiClo5NJ5+PtQl
Z7qLd0i765kNzdhd1ZkZCbj/4pzvqPS5Mq3uyi4mfx4ZhsLxc7K9wqW3J7e99KE/obqqm+Qj7rt2
F9kRXCkGIkcJRX01yVrb1PlAbSvVe4E8dGcLwU+K+AzNRH9xjHpiC2XhtyYx5qdEC3FBKU51B690
O+HU2WqoTzcTUp6CnmWb0P8chyKgOALi5JjqqloaDKdy69eo0pwdEUjdjhHLQ92R6RlUYE76kNDF
vL00tYallbPDt4lRPUOzRlCWjPTNyDnq29lkwa/iMd3q2Fap/lGapFhgiE3XtyacOT9EArGWgxgf
TY1scFlAyxoUfhCUL+XXyA91lEpmGwDIUEeMrtqbkdbtuG/126qOAJ6ACzrm9b6YIOGJAuesPtWZ
H2KoOKeWaz83Rime3dH5EYwG6w+z6EmytPQXkEPtvjAS7aGqevU58GxfW4VZA2QJW1fCEnZVG/W7
MR+j9YA96tbpGkKEGOOwwookm/9YwQOmmi+o+xr5pC8Qqy6EYqkbMY9hw4xvnVkNjAGyLroDcTI6
wZfZ21RTKuInTr8CKMV+XBvTOlKUQu1iP/Mw8zGrTqiVEh26RF046EeEOFaqnd66GQk7nj4/4/Xd
4nPvDosYzh8SjFMqD8drjJqfajGtjgQl9RtYOHcRg6h1T8TkeWZruzd7x9iOzFLSVTJ0yMWa+GyP
Sh0S1sSFN4xbjxedXgr7LbCQHlO+oq5EwH/2BqJ4sWFEayc1iKScg+hQzb3C12iKXZ616FvydPK7
GIDl7Jj9HuqZewyANTJzgUptxVTzNGAPQ2Na72mByV6M7fcIq/fVSEOU/3N2rseIlWU8f9OOq3uP
lRVeVKVh0dG6Zmukqj8RUfNkms4LX7Y5Fso7AE61faQJxDHbkB4Vkq0nEwYGdPBaRbemrjEbKlRj
+XmnMwvKF7h2Hot16BY8PmVZbZ2oDEjxSEz7pQvxD/AIVi99wjUdoKlfEY4GLAxuT7ueElHcMaso
nuCAemvlRdVHkkbWfczC/2rWteVH0yIuEnOsrqnpfbJ18+6ZxwmSDmCyIJcpQbTMmGU8iTGi6uRN
2hTqBjUYQElvxMo44qmq6kD4NTEHOw0v87pqXCLDpBEfpwiX04ooV0nUPbCypJjfEePo+xBB6GtU
KhABSaKYcIhPlO2wQAkBWtuWEfrI6atLZgUl28EpvkEunhCAZSUHHr87zxYVYUpFWO9H9Ng3YV+A
cyvL+ARUDgivljJRPWVEx0mMIFZ/NyW6/d1D8DWPGtaeXT8A/1lbYpavgO301LcHMk581UXxTwgT
Sq6tivBPIrLa6XHOgTetM11Tge9qYwtkOVXZ6yCczsfrSac3t/OjbobYhPqM23FK7Q1bk4dEdJyZ
nkq/SMiOtnAXxo07EkutF2SDp03lPAVpcUrb/tbNDXXMJH6SMuXu4F3N5nOhcggw0rX4KeTc4FXE
jLBCeF8+84XUE6l45Wu6nJ1Gmd8Crk+3SVHJGyfyjC3Ym4hjzm2Lt4r87WPr5KY/E0EwbeyyDvaG
E/RPQz3ND2nQ149xikaW4HLdHzQkIHqhAeTUEqbsTVZle6PyRsWXjrtNjRQKccZkcCYuvBZ0LZmb
Y/qEihfKQfNjTKv2yo60ZJ2RqL2tZcgsfarTYJOmXAYrbH4ICEXdZBgIhuoDgIDpLL+T9FFy/tx2
uQumsnC0fBXQTO46Pmr3hvubaOzYVPcBvHCg//fC9fKd10fj2mF+uao8HWSqQyR7iMWISU5PKksv
VgAniCTABhYHhMP2AQcve4QtnmacGGlV72QP6ChGMUqoyBqLJzirMXWqVe/V6dnBW7ZK6+ZZ1nES
baLUQqNEaN6HoJXaez1WF6XwrQ4e6i5JhPg9LSXU3zRPdjkIOX+sK74r5EykGVPdON3oa+hkd4w+
vucGpBLqzXlVzsNzN0X7emhxQRVQ8T030K8Negmf1FBioTothauFb7cgdns9RWl9tNwYlEvR+dhl
j4EN7W7N02JsEGbkPlOd7iybxPwcS4liL0/yHFa4Psldq/TeYRRatSdbqm4npUMSGQIV9xszireD
uFa9MP6o7gq3ae/DwW1fEdonFz55+mJGd1ujV2Sh2dmwgOjcbc7bt9F780cbhWrvQbi/ODC4gxWs
ouCTGSwVPvPy6lQQwIBOizNPX/WNlHIL2UdDGBLWgB/T0mvbn2iQjNGHVTbrG2jOrB1zp8A+0liV
98Rd2jmrCJg81tSpow1GA6nmQ+tNFdS1XGel6rbAeUqZn1snTZ5S0QdoMN36piF7bxPoy8YliLX3
iVC9EVuin0Ul//VuaO6dobJ34CL1C2MRyX+68RhfNEz0HClHhujUsh5ektrMLlXKMR2h4GPTA0NS
oemq7P4SZNkGLXMDYSHx6YCCNZLnn92snop29J6KcSBuugmhFeLDa/KNNObXvBhf5gYlsN2m5hai
xUZb1P+kKIXrciJKOiyZCbHQOYRZrD03gxZvPHSMy9gd1E40x2h4RgBEkQ34ka6rDp1k7+oezWxv
awxeImUdqGD7RZ2Psmmrt9yKq7Jxq4bRzoDfVLltskLc3y1yUaxshFPp2i3p5lO51QnPTInq86IH
DMTOiaKvPCAhK33wB9WD6CfS02UrjAYpfsOWmoEHgfVzZ7bXhvRIspekJR71sKr3Kg1pIhXdSknG
p62OQGd0CKP6NG5Tt1GrOmSsqQ9SvPJzzVu8gaArYaSXz9bcY0+jY8nw8oV4BYy5tr4ns6boBSTi
IdUp4JYyWaye3Gk5LLFkMkJOrcD6aQtCfTCEutouYYfA9ca85AXHmnxtp0jesJEqz/DY5D2LT3kQ
JsJg3QHJuBGOFhF3qNlI79qs8d76yS0X5EpeHHRuOJ1nW48ZpwmGdmjWeLeSHtDFRiOP4Ac+OesJ
17f+HOhJ9TOVBXSH1mvyC4REbOgKQCExiJ6dfteaoyM/w+assxl5iHMHrWcaaQ33TineJ2nLC0b/
7DOTc8DENAwv3Vjar51m4X5uujD/SEjoOVYoJ3FDDx5jiEyjYcILrPq1B3XnwYO8UwHcs42PBtvb
flAtgO/GjZbkgYBphFs34RWpMrPdSNsuwQ7PeuO1P8vCLJ9ZIgUveZiXbxrvvq81fPIJH2cK8kU6
+6mI5xcy56NXUjt5Nac4aN9MpYkPpsD2e0b4z7qv0NoGi4fdbijhZwu/VcEjcqw02+ZKKRMfNeH4
05yBfGvMbdYFacbo7F2bhNS6sJ41zGQHa9SnsxoG7y3BX7bWZYMqbHLjo2DMLNhjtFgGShV8zAxZ
eAHKrH5zizY4ztTaFNVzpnYpBSAWxbyJtmHvPHJ5FT/6oiuvsFL0HcsGDU+fo6D6xBRBRqq9x4x7
ACMgo2B2o+N1Bna66xH13qLjwHjIsU8gVVnlV9Zl6JLHkHmXEyMTXRVmXj1MzaBgg08ZHBok1Rlo
qiY5m+2QHexhcg8LB/UY46T7RvvNYrCEFVmvE8IY55VJ1PJj4w26vgFKWJ45MNxqY8f85kxw0OWO
Nnk0171Z00VDVEwwBsQZHl88weaXkajhjoH1cNX1oH5wMDz/cOouI2+2AA3fBeKnZzvuOWgr/Py2
1LS1afTWT6J4yx9YYAcb2mPZvRVIT14TpRq5yiypBKK/xdI6DbZNdHlhiT2PqgfV3bIfG6c2cDuX
DuxaO2j0e0219nMo8/y7CNWz4TEVLRoqkn6C3AWLKTQAUTh1eoWpMH3kMFhxfzA7Bek9o/qTjN7n
fdMy1nNg1edb2gA+5K7qKTA0Uc36MYlqO98Qj6WzbxiD+HYi9AGAC1tXzoiwcIn6i9oTeAclkc06
7XaYax6dnNTTbG26XDYkj7GIrqCPnfuaSLIVj4R5q3eSgZ1sCZN3hAw/OnCb6SZUzStY5CrZoEaP
Dn2uyvuIX5S7td3GfmpYEE4+1H0iuyTqcFjs+fSV4L9muJJVkggzmS/2Jxy205anOWl2SAGXySDO
TrGWXiHeO5z9YHEo+U9hYA1Pol1uNk8Mu3DWmNprYLmOoZw+lUoXsxMfyorWmveEGomfgGWCYQpg
J1y5zLFH9jjQc7M5+1aw/hlZtmimxYRUxDBu8FihyFOuTUCJBccbKSQT7F8ROiw8LP7Fo4EQGMz7
ZBuFX4UWwJfOkCXkjihmdNYYyVfQ2NmBQEfHXBO1i1lF4ij3SVWov9QElHE92gbXP6ub6ZSmWrbW
h1a8Imnl+khCmrdcBXm6V1lqfScZYupJ2QUN7jwZu6nPi52V9mKdJYBzcYiXLPPc4jCEmAN8yTLt
SmrQGLKD7LhNmqD5mpPKoMQzNfUCjSwHq0k1UUbVT6s3vJOj2d4xQW11HWZLA1lr061NqlHnaeq0
DbtaevwJG4+AYqqx7dvR25TRhq65+lm7vYUDK0uAx7rOJWPvuzPDOnyMcuJ/12ajjfsE/Wy/ZW8f
bYvG/nBKfbrXIIx+aYLRDlTKG1Bz5XfnWMmTJaNM389D6TH8tetXSJS4XMPSuM2qUrsPMXL8GyHG
In/4s+TF021UUFzcJlTF3zWoUapLlOWEA9PTszylY75KgfM1a6uYe5tS9dIbWvKk9z1X6b8WTNj/
lVwCCQpbUCxkCG9+0/fMpgZ11Rvd3UR40MUTlcK71rBF0FnbWwOumICejMW4ToDEMHOlqK7Lt1Wf
GquO32xagbtw3ZxhJ27FdVawYCpAHGwHynj2zaZxLUJMVSszR4XLAJUQViXs8jjYCU71Bp8wbMDV
4DAbtFBqZetuSHGYwT4j3SjDlQQ8yNzlY6qtYtRBG7FwuDvV2VQozuPY0Rw4w2Rc61h8JQWkb032
7b7WOPCTEmQ4AayLVGoEUfqvPzrzn2WEYOoR8lvAS5kOyt9EbDmPEh+fTbWOhpK+Qb/a9kjQa5dM
h8JAsjRMaDMsyI/siLrphKp/2noZPk4eJuir5ibAHYJNPOrx3nS58AkT6g86wAmcJdppJHXCd7OU
AthKkn2R4BH51z/CIiT9/dFDeQyl3+V/0ecsyrk/iGVi7pKq95S301WV0OIQRJURTTpGp1lr75HK
i03P5byepiY6Grre/WDj1R2Uvqj1GLg5ZNTxii2Z7AW6jX/93f2zbM9DnClcnkvpoU/97fMNmeEJ
Q+QeGCMGVawiQ+8GHqD6N19mSSn4pw/Bw+izvAIc7cZvX6diYWw3QeXtWH9OKde3xBEK0X0zjpn4
NGngOSNTcmVJIt8AvBX3MUXouGEwToRAa3oXUDQpshlelsop8gugQ8jIaTBja4/1x6pNm+d//dEY
v382nNe64TiLVRoYKwfHn39xdVbPDCR49vrG5FCYzcJZE/I9glBIgQrRhjx76aXU4xJw5IKozAmf
jvosOk72BKdWxdO3Q2DLza/v6++RFdf/PLX+U9r7Vf494eK3//s//l80zbMN1SXOoT/8FpfUjr+n
cdx+5D/+9pdzPJfqI/+jRvv//LW/y7SxwFvSdJx/WOORXrR/+4tn/pXD2bXoepgesF5GOPwPjbbN
3xCYynHNo+1nVvxHjTZjOLzmGHTIRkFX/d/RaP8uWnS5mGhXLWESw2Y4/Lx/fuJGAxBzauQ9uiyb
QzUtqt3g1EhPEuPWwm9+iIOeABrqR0INfpiBgOXp5P/u0EUp+ee39df3YZrswaRElI0y9c/fB+Rq
jbyJoN8TMZPtW0l2gpVuy3ktWGRGJ7ve1+g58viWxS6gJQdKDbv6cxKNxLoq67HDtMsGciZoKb61
9OJk4ZkEltsyj8EcMQgJzYdd5tA3EEnbO07uHZGJ3DKV0Dd69zQ0JIo7gz8GhZ/kzXUEUTWkwdG0
iHfVxDZoSBvOUdAkkEcSJ32ECqn8xgo/bJkyo5Gd2DiiH6uVDuvDx0LTbDp3ntixx6Anq0dr6cOD
aZ+E1nXwyMCybbokPtiGaPHXSAwpgqpZ38pwAW6Lm77IDabS4Ro0X6mVW1Fb69590dKZwOLkgaLu
2ITj3rTksWA6nGCI1GX9MI7OG3MaiTU3vQVz1q1sejAqwxKQvBO/eIw0lTsfBVuRMooZZrxrjf5E
FDTSO3lWjrpHebMz29KHdrsZTIzSWPXBBHvmeupSv52yzzLrv+OanqSbGYvBzvxpejO0ZceMDvls
5XvMyvVmlPOpNYazBiJpI8MIgApTBPBmD3kWctvcN4VcC90Sm9keHuoxvOKm2VpYh/i0wJxlxeTH
5MKL4Vgn1lPuokjUNeynzUNdjD/7nL6u0d84MMnJJvkJpdtrOMTbyWFgXVvONmf5ngcMU6T3xOMF
t5ldFFIr24BMNba9D8zyFprvK4bqUy+se0VjgOixezIsFnnGd5nnt43enzpMioiXwI2OMyFiLUsa
ZYISCwjyGlvCGGGR2+280sfsVfJo1pF4YlypMwsEzUmgNF5zUkOahA27rvl50n7pbQVqXg+Y4C5M
3cInJ5rdWvRCVfto5y9SqfmSpEP60s/5qUntu2BEtuROSxCrCIeDbYqN7NOTLLwNe6I9/txX0QU/
0F6ep/nCEBxmJztNaqaVWel3ZkvVpA3zoQqTF3qMYd+xrUSwf50DedOPNYI5AjAd62JPd8qtzpQ/
60ZFjM7tqbwhSHHfdZT7nYiu7bhMe5N2b9kox1vIRJu4cNK9G13BXrLHIF3Lw9hukdyCHorj4MpK
nZzRYHypZuAIqfik4PORGmWIRQ11rj2D4VSYZutYQOFlRwkT+5Ns8i1dK13NeqiMO2yfG6O0t5k+
P5O4uwf2C/MHPuk8ixctBkitZTseDbnRIzM/WCXlZG/opO9guS074wj4kSS5+SnuAdfVnXyLhQDR
ThoxjDfKIVK7ctQ9ZrMzl/iaGakgbG8/rKMv0dtQRQintUPz4unI7urWuWAZP4yp9w4g8RB3zneZ
Goeknu8mHZEY3lE4olmxh9Q03GS1lmxLObobQyX3NMuAxwP9ElokCxfGVYl5rTc6nzzguFCHRFTF
5zwuBkpjC/06YRloWxRHkXN1iHPLM0pkJFiPAMF3KHLtNXN8g3FO9Vk63oZy4DlH0CH4Bxv24tus
cdLNNGJkjdSTnNUlKNq3joSOPVEN0bqS7vM8TA9yAD8xeudRtqcyDGgm1SMBtRfyYd4Q9r2brbkl
HfBGn7q3ekpfIDPlu7bi5xCE7mmlr4CazzI27ydbu/dcPp7cqH1XQokHH7fu0omhHKCjVSRVspfu
cBh0d2+a1m5mnGul+a7oEnTKtAMEhB8K/MeAtnjzi7oa10bt/qCufB5B+7HSgTcC4JqNfbWOEOz5
tIbMgI1i787ehwm2f1U3rFu9FmkTUFaoaBpUAetmZGDm84bdsm55qb3iE2E48gP8tKi7QQenkheD
qT5+hLfeC66F5j5qg3uj9+2y12YmSB7frlHp2SzDwxzaP2o0DnAZw2xDNO3NzMeqBcE57QcYnaz5
bYiikM7zZK1paJpgDDhwNALwGKBBRjBsRlf4na1dVYWYYIpCEG+JdsZShFwrjL9VWe2aObvXKVH5
mMO7Jut2teR5YFwfydRXQp47zzqUs30cmgGn9VFE6GURl+9LAqSI6DsK5w0J5FOQN37cMqWbWBkN
zLRLDiE4XNs2CnYVk6eqfI9QkrCee+mVcRgBPraZfQKmtx/6ihljsTE8tEUQpw56PC7yVszI8qEO
hk3d2vspvq3L9mUi/npAeebxpLuZ8Uo22gV54h75JkB3bxe3DHqcJtjPWjRvxl49ioD8spRlf2SP
KQPHFxdag5MRV0zMTuExVM26G0PejIRBk3sVM6JRdxpajWnk5KrgGXsJr7zmyKszRj+q6RQyBIVU
dolGrNrzrU47mqB0Vrr1s4X97ltoYrrMOFG/rfsh/gmD4jsK7YsFGx7U6z5Ow0cdCZXeAVlE2f/q
JiNYiZ+tw+h84uhk0oZY6tapR17C8pVX5LmenKPM3ns3fSOZ6T3Ukg0iv5tO7y4yEWu8URwvQXR2
OLRmo79TTXkkbOS28xJkIoBGnfw9D7VsM2n2pyfr274z9+U4nYltzDdtQtaJZ+xzi5gPo/sAxQFx
w/MzOvCUGREo68/cmk6RdkaejnDFJKSlBJwWVeeG9WieGc06cVdD/GDmR4tDIRo2NsdyB5O5zdd2
2/ktrJrBOuPkOuBZu+he/KN3e+DbxPTYqGHskljqcYOKgtwchAVlKAMgrjXzzfROFYKJkrjv2BNG
Yc9soH2LzkV2YzZPiQ0ptNa2VZPcVkmzNwZGhFYfP8tYIjoiy6mI+LGSq5w3RSd3GcaNMm++bTIo
oxiNYM0HqMwbO2c/Ksbs4JHYHjbZyUZMJqR4VqP6RGEY+K1NIlvWR89OrTXoFdoZWxMqPHzhdwPB
12sRoROj96WwYcG9K3tA0xqh69ib0xbTf2E7V3SBb4gZvzAXvDR9ttOmBnaerZ5Zb+7LIXlOpPId
h12d2e/CkWJmfuzREnccvCm6WsvJ7+uqIB2p2U2G48ue4W94xpTuQbUeb4gSRlpfrr3hZxbl6y6+
a2vvOOTeNWjjS9IctXjaiEyux/txjrZls41EcamDkk2qqQiziSLuj9jX9O6+4yraTEQ/JsMOfXQo
zZdw0O9jrIRD4wKseGQqv2stZ9/F9nVO3W2luptRz/FHQrvkAWKFMMfvGn7vsTaIrWAdOCWfw9Du
gU3cxBWCF60ej6PH2mioGWsXz8jqV1MZHgdYKInCDu7RSFT1Nm5vYgPhWeY+CsLlXLv9iKES0at3
G5SbwE6pH8AyvuBYWfB1zzVUkrnWDp15QqC8jhOOLJuSdATWW+fiwcgfe8cHfE+uNAAvaO+BFB6H
df4U6hLGTZ/ER7BIN0yTl9KymY8yKKBhuSL/0pgV+UU4lwfoMYoaUnntqzOk5XPdYsWYY/JoEARN
P4uWKFAv0d2zSq3+ux9KFAwpuljHQQjCHiromZsB13Sd0S/p478Eapg718rFSWc1yBQtFfneM6v0
uWT44QPTBqvRI6+fwIG951TDe7gOS5Kw5hh+W4XlEQcV+OII14e/2N0KNqcHY0l7lcrWf/Al3S+2
FPMnCfb6HrFpu2PfZTyUQllbQzLdc6NJHfUiyU+6JtUD/R71MYXZCFSiaO7qnCwql+94raFr51ca
DQfdaKpT2dvhodNII5Aq5I6bybYIJsM9hDWsXZLBMJF1ZVWfyVcMfe4a5stswQ6aVzVns5DBMVNd
c/Q6yaQv1Wi9RsWSTILLOLe2NNYFEOLSJatkFU568lC6rXzWERB/VSzxsAeJYBvCm7jYrKLfRmv2
bgljrZH2W7w/bhPmn4S2dCS6WA48+z5KLmTXOI+Ol0T3Hgv3u2bwqltjUM59byfjRZVedJpQZscO
izd0Sd7cjvdBadhPrMAmNnfxZL7hZxi2iAc4yoiBBVgou1uclvJm4sJ8Zz8o9+QMuicgZuMnmODi
CqCwvTpG21ywESWHPJ7giTh4S7yQ1XJUut3WmAr249T1K2Ghy017pBxWYBrr0k7QUkQIWvOlwS7S
KUahFwYYDrIBOagVOS8WyRjrkePpPXEy87aCRE0+hzRO2jxPnCnQi/Isvpbj+xixFowjgLFtNl1M
c+ImrfKpf0CQsZ4MTFJTjuWG6K6unr+cLEEBOWB32wCWeAw08eQW80XUKekg2d52MIpBnLTnjn1Z
G5MbMJ4QY/hxNQjfkc5aI/tuY2tE+0zcv7p8HbT6wLRaX3eG/S0yLjMz+bDhT0wlhO8w3WLUYTm2
COP4hFjxVK4nbt3Q1klcVOi1ykezsA+x7t5mdreBJrGOEovvuNv1kF90dleYKPxKa17nOYpWUxhT
Uebisbf7p0AzLtWEI4AIX4J70ptp1A6hO13cOOzJZiEpyNFIs2PllG7S2bxMbrdyTXSxZVL4Xh2d
63hotmVCUd7ETJtNe9srFOENaITKb7oXlHqrtmyW1DmiJ91tmBXwZZunP8yH/j5M+48/5HBb4s/D
DtcW2CV13aHXRF7JbPK3oQuidyomRwx7kb3Q5seneezGyzgg+taAWh91UdS3YxnOd5xP0f0QC+fR
ACx+UUGNNaMRBfabtM8/5a9XBYtw/TQt74+zvEnR8k6R/YlCaHnPjF9v3PLulUDyIaEVDFAA/Jy7
5R11l7d1Wt5bwIXNMy46XmbEX82xy1LtGAa869Py1rvL+6+8EnpUPtfn3Gu83YDRhC1YGLgHBpTT
pjBUcDUtx2SRwNliLKfMvJw3YcDJo7fIOWp7sB6lM3EuGQ31eRhF7YOelM0DA/L85JpCHVlktxdY
pNYW5qvxYAYOZ95y+onlHERf5X4tm5sf5nJKqqmNDxESFQ9JqE9K/MKCX85VLQ5NP/912HaZN+yn
1I3ekXE5q0qfvHsbyosfWWaKIyyiYRgGjm89GsSpnobozoY4/xV42ujnNYrjKuGS/3UJsLcwdth0
iD9e7ohguS3K5d5IYm/6qS93iVpuFeY55bOx3DTar0uH32Z5CDG4+fVyJ7nL7dQs91Qgs+gAoPam
XO6waLnNDK41oGjIKty5mb8ZEp5c6SGGrk2jeR4Q47y6U4cuCsKV+TI5kqFW3pnT2+CNYPEny022
VcgAKuXZ9DuBNhocGunU5Kmu4IeTbpcVt1EUxb5ZmRFsFp48K6u3LB+1vdAiqDW2ksGHnTtduS9d
HQK6XrbGtnF0qTZx++srWth9ERa4rKzHAMYyD1MRRWsIu9m1LBLx4damecoTDomdQKherwTCDQ6z
FnbYSgo7/bT06q63Mi/YVLrp1NsosKhL6BbWHfnnDLxygbmulUzVnGr0+7q+j+g28fvZb6pglNPp
6KpiFgmbmcd3yiBWAaDyPS14TJL6MWtRbGkDetoZDPjtoBet79Kw/6CJedFc3TlbuEj9prKf+pjS
s9dMi71yz76gBW4b12F27w5Cu3HjxY5g5Q06pzR+lDrISYEc6RgJ8RgbyaNbxxEhf166h0YAPi3X
jyHcdb9AR0cY+thT9LRZuukt8R4bOrMSArKmaRGf1XNEVZx2vmlMN4r6YzXk/HE2MdE6kf2r0xnl
sWBrsC3ESJSHKs1dPWVqY/QeEpPZ3rlRyaauGDTSr4jBZZjKWEVXH1mn31EXEq8qRsLEjeGpKsdn
YmyKh0GraMfcLNrZXddjCiZR6SaSFfvXNCx37TSRva4ZBqYLUW1dKOMr1+6bbW/yrpFDbANagvSo
hRN6q7F5H8gQOkxGSoT4XLw7RkYF4VRql6HX2OUembsBud48Vohy6xyTnjLIqGsrPBwTMOC1Tv7V
ukWPzu3o5ZQWlU47f4VL525C6I00xbT8kRuUz2XQ8hue6FoxCpFa7PWP/D3ngI2R0BMLhcRT44ri
RCJGcDCRLy4h5fG5DOS3UTX5Y2qSAueOHCgojb7pYn4miKiwCBrwqmKJUyK0bxF3JmssN+Q/etF3
g0oSTS2GVSSL4O7nAiHhFH8SePA6ZG+ors8YznkizHgN9OiKGAY4X1r8FM18j7tOUAp3xUrL2swC
NUq2AE1HeNsoE6IBOHw6ERoPFoZcVqWtHkhq1p8gKjR0r8bXWAIiJ4TkSSoko4qDS7Pcgc64wqca
Ggh1pXWaJNmgDRrf1ai4JKCogVoRPYmgDgQ3iPo18QN9eYhMDdIyBLHXxF2aTMzA23lMe/5eI4mR
SNp+JnIqzTeWZ0dr2bGsxd1qXmSbIHSGl3gINQGIbSB6jAzM5gILvL32TVBcnUAbPwPOn5OBpXMP
u69975faql6qLOh72d3wq/JaajACeuVBG0ptE/yqzjhx7Sd3KdnUUrx1fOL/f431K13+carYRH18
Mw7cxE2r4q/2T/soZ6lA/u/o5//JTEN9/MdVfXz/aKJ//pv/OxZesnaSjgfP50+wISn+KgWsCWF4
mCr4QyzM/kF/9v5qCHa9umFIw5Usqpuya6O//cUw/4rSD6oK/znBltb7b22xloLpT1oLvoQhPDJX
XCTLzkK6/uPCWzSZ1kNpIBAHu1zzQPqTS6CKVlQbzKTiYsvIpWUmI3tbQJHb2mAO/KwNnc0fPrb/
orJj0vi7eoBvA6opq1vQG6gHft+n6U4vCMz1eL+NpnlOuaY3gfCCQx/m5mOXxt7NKBDnAblnMUHm
btlhtfQ0pn2js+cfkc5qAGUsURq/OxF+oyKKJ/jCIobMHwbOVW+Zis6k5m1wc3S3Ee0A+ygYer5N
23YXNQpFBWDJAx4dtdZqbW7XY5gFvqaAD1iOnGiFkaVGjLBfF5qSuW2Fw87LnbyT6FIHeKrJ/Zfw
5xdX92gcSMwhFRLcKBoI+zaPLW0Pn9JBC9y01gd1bnZ2rCxAx15n6FtHvYZh1zLIJ5CA3db8jWnD
eURlCw5gsnoCOobmioIO7ihu1xiF9FB+ttJtDpQq6hLZrXHUSww7IqK1Ep7dXkPcxRubhtLXE+uY
ldV+jDWy2joRPk1QMmsc+GggbezXr0aHR6wUuvnEEaVtO/TEh6RAq0Ijbt7UUaht+SP6/2LtzHYk
V7Ls+kNigaRxBAQ9OOmzewwec74QkRNJ42ycjPz6Xo6ulroaECQBQr3URd7MvBFBpx07e++199pP
vLiZM3UgOhFeUkPMxwlHRQwqjyqbdIk7pxvPy2DcVUcn3ba8u7b+2GGLpFRO7HjjErgdHJp+XW94
dek9xD3cCLSuLnvhOHY//ZVaN7VQFSmUyTkEAZUvrWP/QmS+ooHjmlaFfB1nbXzMczcRyLon8B2i
Apzy+ba7n0JiVdPvrpI0O1ZF/exUgciJFhvjdW4rdcpT4cSWRzWXnq9O1h1ovD4HSFC7VCNcTqb/
6Ave2xuTxFe0kjLi/Oem4So2UkWNEUNgl+p7D9NjtpQHGr3iOlmLCLlqy8rwqRxzzq877pfgYx3P
lYLlMWFhawdyXm1RDJ+5TId93Q8NdVwpEZnaMH76a6e3wVQvDxWuwjiceZ5Y7KidwwZn25KNuv8/
73cKjmA/E4j9wHdDgSdtP8s1deY7VLWxnk0trCeWifrRbGmb6NpJx/Pa5psqrB/zslQE3sZ136bD
8Ex+2SPE7KzPDvUk226lDqQSJNsmsjhPDAH1I/j2dCtsJB90Bu+YdfAl3axLY1WbmDz94b7Za9v3
EgQzP00f4aFkNVOH1V8xZykAzLB6TRyfAXbB6sifgTUo67zDpMP1ouliPjbuEOzrmuuHgPDOtFT5
VP0YzJkK/Ao3/aSNFXu7gxqMYEv1HcFnH/daT2eVoqVYYCLlFeHxWcMyGRutxmJVV0tFLUIpSP+w
bR2F9h7z3hC3Sc+RWfcPul1XUhuNew0Q7PYSjGjsTJ51TYPsMeQls8Uo9GjCwS2zWZNRrcczLJb8
19Ko7C/hsTEKy4ESFZTcy2LNdNH5ovtMeesfxFh6J6odaHefneG41pO7M3zfe+z5z757yJNbih37
227vRmHutodhHsdfyim7G2/m4Fj6jfphdyNuX58q2TD1KjSnHDzxxnVSrzgGDho1D3/HYm9Em3dX
co4xUXKqzfq2G3dJVsw7tw+D9qGezJkNB6CN6zi3aZxRRb6TKRtcdjGweBOSdZFVK3+I7c4UCBXj
ROzKEjO+pzx5h0OTPCIf4C6w3RApqs1Kfs60hg3uV2UF47NhN+wZbLNX7z0tcrTFJOmjN6gKDcWb
rgldajveaUhAy1ifKJrJvlpKNKcoSBWf6wyXNMam8F6WOdcpht9Qi0vWFggD2HmdrWjDP0vhFemx
retuO49DfQpQ6D6dPEQdldjIN1jyQY3hT9vXjg9PHxG1/ZuDnm3p71TDX78HeJ9M6/BZWeF4aL3m
sc6Mj07P/aGmkR5grAdCps4RgdsST/Bm8ULSqObqfAGuwIrrEZj7dCrFGl2iyoXmDIV6zoNoqXDg
w/2lRBzkgiac3CXlE5U1eDSB0Dr66MllCi9tlVjFH89w+/Fmycp5SdtG6N3QGu13z0fhO0ns+r0p
0SK61KvRu2GO8hFS/G1VuHIbAc1gcEgluJen6bOoQuO8sKpMAAItCsQuQkLkDhjtzVzMIiL4JU5p
q8St1sEd8E0HdQQyxPtrLbZ74yjskSx8Wcrnoe+hs+MofRlVx0hgjbD6hdXZ7sMEafkvNFthbjN6
VD9oVBG/ljlYjni0XWrrJ+/sgQf8A9UGeTuxTXkwAsu9JNKh683o5u7FzlzvWmu+q0VR+ntQNcgi
vdF59Dt63Res2e7m8LZ+WaquO8D+mHZpn9rujlazAJ3KCfRVrAmLPjdnuUpp3G52uOUMxLXeQWiV
wWNvJb48TQX1zVNwJtyMc8UpSLkRzCGkGpqd+dGEKv+aXUn5gGrzlTUAxmCxzVne//BMOE+PEs7G
PU5SYwTvy8BkJ20A4Vjt0Hq2arbvhoWcmM3u/Mmdi85qYxYvXPUJdlu9u7OFbojeGOkbtWnZkakG
I5o38Ucwa80yFrWa4lLn875rqEuwfNRNpjTj2V3sZm91Yx9BNGj++Lm2d1REG2BUUhJySlskvAvZ
1axK6oJKm6Kyhy0LT5uWsGyCN00aAo+vNY8xDQ1Hbpv6Z+Ybc9yoJftI7aq/+iKtIiPLWDWTgoom
vsHROnF+VrJj262DY1bp9XEc6HBXHQSwSJiVwSwW7Fm3kiutq6LqiQwmzaDPcL2Nu2g0I7cBuF7n
U9/I7MQ408QYiWX2ytjgvTr9SDKOrEw9Y+31raeiI0QAgoBHYW24+ksl1I3ftXPlku/VqKEoEbRC
yDH985z2yzZrlrQinIvJvaXEY5NIdzla0h529P6kHEci3NXdnf5FQGFPh1j6OK2LuxscnlGHaqqL
ZxDCyVNFg4ezaZ0/hKG1qj89c/xOXNQFUZxs/1NNs8AqPiW4FrTR/2S+bHaDxSYFM+8yfRgwwJ5K
xcpXYGUp4hLb5kNjcFjuF3P07rpluA+MOzKnCMu9TFwH+1Lq7V0zx8ZQe1P3wDU2oyp7tDbWWOF7
Skxreeq1CTWkaVb36pFffMrczICBJUp5zouweJ1GQlI2zZF7d+rLo+ypX6ZCUvRb2TbLn8muEL1S
FLaPYGA3RP2gJJglex/tE79Qi/IpGjhcVWDrra57UyYIBIqjdnL97Bj0OmdP3s59lCQVwCk9O0ds
fC0mKlVfan80H6hr6Wzm2+Jd03xnn6Z0AtU/W35yCJOkKw8SGvglsIPxHocCZwmQOfJwbB8mMVk/
RwqLnpzZ7pmr+8V84W2DU2bNxrGNM00sUA3JtpqS6VTgb1XIbcIvyi1DD2iLpE4vWKP7jc3l+huI
/dDvJ7rjT4GU353AbtHhV8dPsdrln7H2WefyVuT0HwgFKO1wexiXZIkJ9NVXvwTS1BuT+Y5TO3zi
gOvOjTlTWxIaw8507HHnaJtngg6svyxIym1hCf8RtpPNAO2PMEZmFsE6b413w2OLhnMsYVMbtrW5
L4id0f/pdrd19gii6MEWDyrBGZSHq/6mAjt5JqXh4M03gFYOLmOZRYxyLPs/ymmrCHpYF/uu1XJy
YicxXDCMrjU/JIqhgGq6s+AntJVL4W8nysDeWtt3th4HzaZsocBUeeJfl6zM3q1RPXS2B++L8OC+
bGyKdXouNxflpsXZK5TPi8Qux0PDHSMOUxCMpuMuz452UTfK+lw25ZtnV3+MJHgcJqgQhZUVRA4L
+kyzeqbULuBkkn3U+IQ/PGtYH8uuq4Dbq/GxYfpif5akl2wtsoMXpLAJrJ/Ys3A/Dc6uEESlUr0c
hOFk3KXWOSakXe0sDiRK8OgMlvg40oOXjyDVbNYz7Hxz95QtHhSR9FysuXdN/dQ61yzaMVSIuYjW
1gUYZiEaa/r9grlL8fdM82vLh2nn0LIGk4bQh9kVeQzipXgm/Egzm0qdc4DZ5tmxquA0me20HWik
j32D8pqET/t5XChc3IhGWYygtXl/DPEZI61sDa3KuHH1ISk9b1+o/BQUAx2aMGuDbG/6E8/0Es21
W8ZMHfkpqSyJIC/1WdHLFC8eZxMR0WZEwsS+KA1JqxgNACqqCuWwo9UHJ8fLaTJDrM4URC4Rfghh
sjwma8X7Dxb+O/0mjRFl1WJsMc0b5yztwk/2v86eGgXrQ6HpRCGb2VMLlSO2DCu9lobrbN0Z+Xml
huUHxErx4flre2MCJtue5NN7USfNUdStcbOm0b0Va1fwrnQDwqFwHi9qkNk1q7p1azK0/bIsiyu0
1dIQ7wzNb9B8+BMcSuE7esOrxI0XM/lpas4+sUSrQefqmBuvnRyNs70Qjm6xeB4Mej6O2h5D2g3n
8OVedB4TrmevaDHATn4tMJASfnD99gLFCTmQvniPbu9MONwizeomJ10wJ9Tq2/JqJ64M+iuJ9xnH
XtgHSgGNkynowwE3NzwMGG1Ofljc3AZCQwBRw3bUQ2N/dCD5xsLcriLY2YP3VWTQ8GfTOhSZfglC
mDVGdYNFBK7Buh9LXkqyqZkiRsMPlYafRHNjm8oUxWIjKhU1rGATspvUI1r3QCEyx0x9cYrZ5jlW
zTEMinMALpf2Pmc9eyoztjicEeaKYO8sBegBmZX0VtX5cR7KdC+m8eVe2LMhWzpFdskFb50MArgu
Y/gR1Kt3WLOq+IWOcK/39uUa5TDK8OHwjsRPechom4mhIVJtGtJe3RR+ctaly+afyslDaHHTxz4m
QfiQntwE+ANX9OEjOShaaf0j/rezVWEeFoQMWyt339rWHy6m44u3XDoo/2pClXTthYOR/DulQxh5
gzEK5OjuiAu274AgSopEuKKsHgEZOhXbc9aA+iOH9nTvF5ULwlAwedvMlqeh6v7U2lVXaBmE8dPA
rLe84E9mG8SdsqodK6b2KIPiTqPR9PQWarmuxAbxuNjmL8HXh1d4pLvLr/U9phogy8ogeNJj7e4S
2JIx4H3C0GWLZKLNnTcN0SioJSis5lN4hnmbEtlzw9Hh8lyZMKvJJntqN7iBvZ/zGmTObPKtL/wi
8qc5RAmg133TKvdS1Y4Te603X/wlCS6TaKgSQzJcSeQKiD89XZ1h+AL8Ic4z8YRCdSSP9pMU2Z8l
VZRjmG3DIG534JpdD9JEb6lmx7FpwBGEf01sw9w2RjU/jMVkccsGeMrJhbfJPVikkGZnogclAPQW
VocgaPhA+dWW0/YPLpUHo3bDfe+vB9ewzm4AAIBZa9dN09doz7QUaCGKY8dx8KIsc3kQSYYlzqY7
GYCXyEP3sZJ6+DZc0R74deR6xhafC8RRdNzGGFGMF2gl10Z0cSsJhgAJ8S6djcFXuvYnL3CIQygw
YDkrKzZI/8XBYr1XeFVi6QUKFhA2HgxYCtTN0gx/QHvaFEdp5EtMGJtiDKD8VB5pZvvoZfmxKqjW
nKvXzssZL3Ea5R2L+o4DfFcl9HNUYo9L+tNoA4dPD3n/fL7ba0qnHF64ZPe70smvMpkgy1jD06xK
Rj2RZ09ZL95kAxTE12KK6YRjXgTFvPMtUEhwLDFI5ID+crBpGtHuQUMupKUUfiCVOBQ51d7W7qkj
U3ceIUXDJ6e4GKF5buc85+NYv4xYncepPiXoxAciUjQih1rF/TiG8dhg50lhdH6G9XCSa4/VmwvH
pmo1xJtS4yfFh7ctSV0d86Efd0bhWVA5M/tQ9Nb01K1T+iMtLBXxCf3myv8qCJjNT0TLRqv77bPn
egVd1xwtRl+04RQVTk8Xwyu5UHv3kL726UiwAVLW8/iYVqxbRpwu78ICIlbIhah+bgRia7V0rdQD
5MKuXdqL7bMx49qQ7CZ/9V7WDJpUYq76iukSbUraXnf0PDnGytBw+YjhGH5Vb8JZan5QABRaO8m3
PrJ1uOlakb9NrnYeeM62NuDVxUv6i0wcmBXSZOt1XKUdgPbRPfEBxzgSMqS1GNsLCuTq/2rXhD66
cH4JE/lS2U229xvZ7lWI98igsC7uXPU0ClqpZU5ItAAAHxsJxKb0bqEAbGGwfCX/bZftDTQgNijm
hAVMISo4VcjHtSUb1c3zl9tMmtWByo5enjrX0gQTnk5090WyLFp8Hik/s8OsRXDx09YlTex7VM+7
kn8PlXWKszpjQ9W5v31WXZseAukT3az6WfZpR0/vfR9OV8HMJpWAhG2nH8XqFpceMflE7FnjzMhl
gtKY9AAeKISS+7nIih9KzsN+KLD5N0yaDFTFiCmUEzlfTUVnsU8ulffCUlrXEIU8vUzecq5dabwn
NlVAsuXqse1ROF9D16VC2g4KuoHBHkrswYxkftJah2m2zLP205qns65WrHGL50OOpKUqSQE58lvQ
i238btzl7XfYg+7RGrzub5+1jI6J019mxYWpNgQO/NolP+I1Yt9BfNp38IcDimo6a5vmWAZj6jrc
u8U4Vgx/wgpttSGJIi6hcu2XsbLTU7nY9isv/vpx9ES2n9KObLypum5vy0p0O+x8Njrl3SnN5b/l
6PPXaHE68BRk0tmENYudfQce74tNjgPuzbYCbMNY8/xlrp9k13iRpZ0/SWiKn6awSOMSYEp+J2Ve
vTKGfMnQhVdRqGd77F+pop/i6b7wGtf5MKxLuyuYnc9aY1+nZCWNUGGngzbW+ru9+6qC1pERjDVz
OzX02KWsB+N0KdYnc5yAzZioozDOAtZmBRXNiemwoPMA8FaNT0e8bB+CQkCW7TSolWx4mxbEfdNW
H7nVdZHKCTCTPPceVioJb4vRdz+cFOTGxkz8eS/c0emi0SFV3LpcbNLkNcvC8IhBiXFnBJcXjGed
S8kLT8vTYvt/c8b/jZDVEBesoHgTaPq6pzGgE7ysOEz6tdDxOFj1hRqzJ4q4n7yUbvmMBsWIkhUI
cYP9C7QjDyMdnlddMRsruYpzT8379+Sl6TZpwh/hYAUHr4VUz5TkRMtUMoSFogX4m5TyqCcbt2/t
cDW2TzlT05ssqbxHG4Zc5cPmHXVgHLjYkV1S5fOQY8TXCFM7vxsuFoN6HwyQCFe2ktvJXvsjqCnj
YVp0yBLDec1aj7+uqJBXVIHAbngTNG2cyFCS8IS00WCJR2PtTIzX8DSCxJUnK0i5FBdFyGbIK85D
rW+WDcgkUTBPSRBYJzsJXwhxOOesrl9MPkT4N7DCT3641UP52pTygcoqsote69zpnSSi14IWkcgd
gaKCiRh2NhMO70JWo852CCfeyTNBq3PYiAFbhAnStVlmumksjxcypMD2jfpI7zeYSbaWDUhBBgts
S6HbHxsew3gJ2gZvzFrAr+C1eB2yPnlS67qelsELaGAGAl+08s1NvWevp/dtdMJvT1rwrtJLwLZ7
79xTZ2oRzyFz0TnHi6fgkueVel9G+emC1Ny0fZthqPdBZT0nlL3GKwLLi4KeFtnwnG7CbNQZLsIQ
U4WCORnWy6FQMyON7psYBB1wYsuPu6ylWi+499TBFE7HZ43WdE3nTBKoX+fvCgJDAoeyZeweFLuX
0eUTkNbuxRptdDFYDeYWys0pnZwg1pY6wq9taBOHGEGECElwzJkWgBkuHCcABMg9uI7JytEDAtDh
/KeCrrLfzS6jvMwfW/dIvUb902LXwOdntJsLf6g8Ua35NgSsqErD3jW8367hUko/MgB6/loLBjPO
w/k5n+lFTNuavFuoBvMTOr3xyr1fXFYe5XddlxOwViuh+3PM+kfeCwTz0tEpf0AdmH5l/sC9jqVB
OCEKFYW7nvuaFhm2t8747pI2f5wMzcd4KfghoDHN2UOyznIBIJYzZpatCF9Ly+uPmW5WXlfKnL5m
sohvY2ZlNRYV9lR16jY1m0zHaZgGcb2nGEXrSJQa39WaVuQ3yFI4LWQRP3/DEqqOyFGMcUAs8h03
aufgj1W+brymte/Ndtjfw2KePqVf/wLJaETwJn9xLTfgyOUw2czO/lUy8CG4rSysNoZkJdKPZnCe
7CHnTdHwv3jEf3hd4AYwUpruJ2lxPkv8stlfDeH1PwUNan7U20lD5dvkgjcRzW6dHO8YJKl3RWUl
WIBPi/UYmjDGkGHX5qX7PNLzxKfdT3lQOp+f3ph5ggr6RKE/UVwMVC28b7rqDaPiRE2RO4LOBYPi
WzI/mJqUoHaQIcsEoLB0XANAvSyvAx7SFzZrGd7DKlpXOokj2soqKhgL7467XCVQMN/T8C+sxP3Z
ANSbtk5pdqfeKKs3e6ANlvKs6uDrUjyWs1H0kZ8EM1K0LSJBO9s4OVZkihQIo9L5DkVx3808wOka
fNeZidu8S+QTD363XY1wPDZ2Yz+aU/Yd9mz0oA0QGhvn6ctpIZf0TtptC2d9GklRx3ZbhTjKVprc
Mxvn7VCtcbd8YhUuerPDWdQ8oAg2/P7OekvbDr5Kgcs4D9Z3bF5mrNNGbUc5zmTMLejPhHBE7XLr
IG914BaY7XphJLexJUHkj94PndARDZ456LYmhNqrDFh+aVZgN6dICkgHteu8IjatuwwG7jNVrPmO
Lkf9lQzWH8D2blSEifNYK1W91zlnByWFJtGaMH8e51DsJ9cr70m8DmIdKgoJM2ivIZSphIbBqZDy
NRvN4ebbCD5bu8JGGxEoz8/QAhkJ0sCxsF5xJrsgCpJV6Be9FNYBiyPcUR1yQQOMiIJ4XMhzRTws
/vZ+UuPA97b+nUHTYgjYYMw132mhoEJipFLaGabyLsxascznCRd9+8rNjCllcNQ+gKh3lbOkz3cB
bb0U9g/0t+TMICIvJdNkVHVcaJYcw73b8qqdpCy3C9rfFYSt++Fj7KpSc97JXCwAbQb/ULStOrer
le+KsTdv2UxUA5GBNefQzi27mwVS3VDPyUs2ae+BdSVfikQU9Duqn5GmrSe+q1i3PWdpr1YyuhHq
Wk3L5uoTAc3aYL3Uq/bx8tVVuUd94Q6I6qZPEInyiN4bnh52qa/p6oyPYmyfjJRwC9u8a6cH7+iU
vqRJ1HObc1qnLOM6E9xqjKwy7sCrFBH1UH87CPE04XhIKn4jxt8l1oHdYJTJQaTg++GNtfbeYlA4
A6s7lNUyfBcTNp5tOBkz/jy3zt/5+f4A6SX3miUCRxe6OhxSi2ubTmJP9p+mIzOIszkU15lqXbVx
WNOx3EG/M2PHEcYIVGr0tjMZByJU1nReVlg6QVePX8Milie5cD62nS83Q8bFgGIHwql3sl0L6Ysu
WX9m/ic1ld+GLuhYF8teUBbJG3pozCe0hl0+8/yScXizSrf4vRpV/tqHyv+NAhdeXAKchEhFu+G+
TW9kYM+q5l1olUTpjObTQJB9bKxO0d5RWzwVlhGbhWh/YFQbFiyqU2FvdI4xkLMg+8UOlJsHOeHH
lGz+FmOQbPjBgQ8TQh8buoRA+mvHPKcVoHctBwQmAxJOPRhfCTmjH2HGvEF6aDLpiYXmwz3ehdHD
spJrAj2he0E17QHPDib9Zuw+WAx9gZT7Oeuw5Bj31Juws/KYd1DTNxyn+afF/fNjWExkndE0Fxhi
zOncNWjQhs6KO4A7C8h5oKxFoevnYKnWKKkD73GoKh8rbzkfSPNPa8Smb9hZfUpWlgIcPBkzBAlq
QebBiJaSwuP7BadgLbFbffWM4gX1M28sthhprw+0GodIGUawJ+9jPzeOOV18UhingffRDZOHEa1s
+mkc1PqpdFPnYA9D+pkNtXjriqHA64BrBbUHOC5xx2nfj/f9OPRQ60HaM3snU5HdpreXrJcq4iYH
grwhyjJt83ph0U7/KDWFBFEHw7Iv5lgC+a9tTD716tlt3AQ+aa+OzHTg93+llQ/x0CQdxT4SO4Mq
ynVrC+vVZ7cf5aYV7j3eplv03epilPaTO9XQnz0ycba7+g+L6hru+4Q9plJ0RDuDOXh2EL8VVyQ8
9WZuVTdE2vAFoIh+QsC+00Oy+mwsHrpabU4nqfxljdIUf6sAtv7iLKiMC6n+nj30Heev1qvAQLzD
SaP2HKX4XfJlfBzt6ma5XnHRzFwHCjNF7MzBO+jdLO4lhuKoC7R86/DrPM2TdvXGHB35rjvAsrhI
V8xN+dRGrVgJLGmYXyBHxaZa/GOfFfusmrOTW+G3rZIgAJnvPoDWquJRVAHM26U+ssuYojVvKz4R
ej5ZLcaZVSr2m8r3Sa3B8P+EzILrA1jOh0FAPlDJW6jb+YkEKyjkhFtcoXpS9rObxZWWzxk6IUDw
4eAEmLb7MFzOAF/ZvJa6fiiaSQF0LI5wvufn2ieEMnOJuoRLtRQ4WT1xbf0Q7pQ1/wp6eotMEpwp
glFguKe6qxBtSKSMB5lo85PqUqhYkHX3MC6qN2v0eXENaNLHWtYnLLcjUWcs5BlBlDjHj/oO9mq9
Bn1CGrayO9qqEKopHPJAHeFX6iKyFeUu7VJ5oGUJWwfs/agyu3Y3g6CrOL4WoJRtii6bOWb5zGt6
Ku+SvN5ycjQ7NEnzPNrTn5amlX3bp+4B7h+rPSBWLdGm1gXhK5YTfgJwRmGqyQqmmtL6BCIxqIgb
Fstyu+YJK6nQqm/Eq9VtHhYanqme+4IZLkkbjXo668rsI2C0wV9Pi+R96gtN3TWXUjbSSVfwyV+7
R+Sl8ANQ3RK3ecPWIMNoW1CBsHVrNzvK2W2OVebbz1buQcyoexbla0YrdTgL0k6sWH6VM3ryJm9r
JxIsIrE7WN558XoHWPOseZ+tPVtD7Z7hUocgzqn3wLeVoye4TvirS0LnxKCS/mJJyAwh76so0cnn
nEt4xUVgdE/wT++roA8Tklq6CRtz+FoTz35nu5F/4U9bH9ltiG0aJsZ2xRn/JzMc60YnOMpB0pSv
lNtkW2QBrvd3sC45cP/lDjnZZ2PnEtPzstsEVCONWofuqCGTxd/GEtNLzfGKMEP7bxd2Lnj0tqwO
1SCdrSGT5DRWQuy6nrOGy3NtPpXlMn+xZvGuSFblNiDxRVXejPUZxcB5qUYu4EazFC/0QPyUvaKY
RHF+jmVyyvDGI+e46jHttPXt1hNrxYLPzKZuBpMzMTcwBqkKi81qH8kJ0wngGdNtXZGLN/Y8qhj4
VrtbFYuMVoaQAELb+mvLIDnj0GmJWBmj4l4Lz+vJYzjYIcYlp6rhczgrjPYbzVWfqzPbAtQo+zY3
fXKTYdhsU4wAr3VCDtik6mhyuUtz/IqDqnwfLS0roE6U+s2bM3hXA1VX0BUGNGvG2pgZufgIZUvG
szOS7HOCdyvvuLaZtQP77RVfDa+o3Ch2vimcc29763fd5h5RBdS7fqhEFHLljEJoCRHqzvLCNmw4
uK5/d/fdd++tOfZ/MdcsxEpS92XtrJXsGVE1fm494a08PLUFQbUJiT7io0q+walm1ie9z15h8Qzi
+6zNeSxRsCv9MOXDc7VaA864YdqN9N7scJMxc6a5sa+Rbl566C3cmHuqpp3O5lYVWDPJTbT3vyvY
BU6KtX4rADcwC/Zil5dec2ymOXlQclSPgBiLU2bx35+uGAUJxNPtx/bxDy8c4zolSz9svdIIjI1b
lryD/hteMSmlXS6AaWfy5GVwJ0c2CbD1pPwij5oioWAZfvNK9A8X99XTVCfyB+3u04MrEF3Y02KG
pQyv5I0k638vNPz/TX3a/2nuJKT+v9//4P+Jj/of//qP0KT++ffeAUr/8g8MTPmwPEOeXm5/eiAA
/1E5e/83/29/8Z9Ipv+DEZ4VeYhh+3/vhH/8nffZ9392wP/zt/zTAu//w/FME2SSZ9JtGzjwu/6d
5RRY/3DolHNcy3Q4NJy74f4/WE72P1zfdekP9U1AJZzn/8sE7/8jsGzL4/dYd+Cc+//kgvc9gFH/
aoOnepWSTZA5gXBMz/ov+DB8ax03lWHdtWVDYR2sUiB1zMbmNfNVtlV+z1artZJtWCHPbu2ySi5s
fMpdUuruzH3Q2nKysgqc0MLaDd0v48a2B58YZTL7as+CR12JyFCAEOKY2mK5DfBe5bM61eHSfZKk
LlkeNgy1oszQe6U64NwdthOeqUPXpRh2Hd+B2MSsF8ZY6Ckqp32DNjiS3eN8F6xVfSSV5JxzTDRc
xls4r8kojCsZroLoNpYEAmShNv4k/ciGMpit8Cf16EFkmjNJPIxCp2YMCbFXuLEuAamFj96824Qs
M8MbWrQ+oFmVK9JxNsFbOB81Of6h/JpxRl9zlb9CvV4jF1Xo6EpPfSMYwZ+yu+yWqMF78VanvJq5
tPeaTr+t6RMBzpcaRuliGBtnMo+DoRgjmnrdhnzrtlYqMyyOSIQmQshN1ay2iSni0tXl2U6HPEr7
4reNdLKhgyO/JYHLCGO15RbVYvlBotO7ZC62zc1qGlhrKLli7JCBEKeCpfga9aYAltKPbcallO61
s8H+GykMKwr7mdKyuk2rZ/Q4jvvgzUpX88lben0D4VGy/6a2lJoEmXaPhdCLuncK9d+Nn83dcQZM
e2ZNjRBhNnPy2AQVFCVKH5GLKiXBjkPl4TqBJzUDu+FzyCIjpeFTT70jbs2BVyBOeqc+9bqXUcIp
SxQNmEtOJ1KV57v7ezS25zvmN+zth3wy5A8D3AW0rbne19Jo7l/SRGlXGgZv7dC7W3cING0J1fQ4
YI7jRxlO962CDtyB41JNLzQiZBibcmF/jO7svTetpTg1Z2U9E0bxHj3bmaoYm31zGNkVH6rQob9r
pijnY6Bs4Gfn5vIZZrjYCgPnCf0Xy4Jdiy+JU6O0GsLQpaI5k3XWLfPH4DD4BSvrItW7yq2A3SbF
1By61r9Tr8thl04vtsrHyJ2nnW9k79TRahY1y/QwDnyPKQ+RX9rvxn9j70yWIzfWLP1EkGEelh3z
xHlIJjewJJmJeXQ43IGn7w/UrVvKlFqya1abMuulTEkGIwJwuJ//nO/ceg0saQ8D/yrs65tBA2Cb
JgZkUs93eAwRRkA57XyjR6C0qu6KWZNT7UvPG7irJ53yvKd/DSaQAXC8BbpJ10pEgB2EN3wm1zDV
d7zXXwcQ7xciZ/WV6iKNLKtyNmZz0B2kqNxLAyPoVOOPoHjStmIoFIIZOETJ+ozDpY93tiIjh3yQ
BXfsLsUz4Q5AMxoL9ZUA4vSibZdOMauHj4hiSg+o18ZSH1VoC3mk2snPtubohNOra/IlPYiwUxvh
1c0HIV3ydmur8/32EnLtI7xiIM2sL0aSan1M88CzOKGOyGUUJlJB5fhxHEGb6nAoElHP+CoauJpK
Il6fMtQDZ20SJnhKQ1i5AJerL5at3eqUNlm3z8xiYTgPnsx3jN8AirBEU1kReLL8kmVa7WXUG96a
xf5ZdpG6WM4grg0ipE9lj29oncDUK1Zhqc2PIMiDvQCKddXbTbFjOsqMeMhjf0U1jYMooae3WsTW
17LX5TroMchr7iJW2Ba9Mh9a5tUMdNaArbxJr0u3az6ScWjuZtePv+eGmA5FIOePXulxW9smv9iK
M+o8SofR8568ticeM7DoISNxHGfrASe8vp9Eh2MrEEIz2e/4p9TmwWtbWh7VNqPJxT/EtqY/opKq
glhdMTM9VtKRFWaXTNHsViTzI0gdm1EQsZyFWbegi8UnxniZ8OF4F1Fxpb2GWWuQEN4FyVsDqMc3
bbdxsyf/ANcqavgqy+SmpIbi0od4XDlKazRvN5lXDg8eWhFFe8Jyii4nFwTzhOXtKmE08uQRwr0M
xLjS1eza7av8JDj3BbfEShAb8TaB7JxzQm3dvOs+sc/VJwK6SBYcNN3E0zv7uUWfKaboLe0MrAYt
4iNb5yCdIWJQ4oNGEMyOTfR3oj8GwrIL6TNlYEOVgiBGzlAjPcfMXLONL2XC/J4FPrsJGrM/KypW
m2M+t+5RtbarrijdUwfHY65mCaM6N0iZBxXj30fj13qd02O7MlU63Ada4mcse/MbIBKsamAi0clj
3FC6cBFgDWHAJEddQJclXsveG3Dat57ASLkpwB194Qwlo7XrQ3c+gLgZ063sfNATi4EcGl2TD2vo
RdP3xIrMJ88a1MMQJZzZm3EaHmAUROeOe3ilDdu9Z57ofjFEVIHQqN2T8Kiu8PI+2SiF+SgqKboC
/aZWIcP5GV6APXDDrpZClY+qBHPBA4fuHf5EwVY5w4lvrCu+Sg4I6BnTTvRQ4Pdu6To/2DhNckcJ
XDXdOYmZPmF4Zv4r2XSdcaD5yT4Ds/2U65z1LjD9oT11FFj0277qhhuDRCpG0tGOvrQlHiB85Kiz
WGE7Z3H9jAD8QW9pwmPs11b0fBcePmbBF525eV7dCCpUCYHjO/5Kp6V508OaYSbkkD2jyWuq2UOg
cAB0LCGcMfRHpZmNDSy02UHi8cQDgWvjWxg6ULg9KaC3ySRhoTGr1KW8zGYQZ5cuGKeq705xapji
4LcmiZsileK7QEwFXkX+NlxRjOQGh2Ya4AT3EsfvMirJONmbKQu2P1uQi/KhUleBNgmhUERDrjfB
S/thhbaHM6sem5NIOyqrXNW9gxMtD22HN0S6kHyoR4xB6Qw28Qz859W8bZuOItY8N5OvFCD0Fw/4
8xeIyjMegglc/mg1T+jSlPyWIkusLdxS71z1It/m1YitJSUtjZ845lEW9y8ztUnHvluCbKP05bUu
2igjf77MehoG4xVdrznBxbCgXBocJIAE7J/YOBD1QNznKe6GrpNfOeL0EuJdZFkIB7Z6YarPiKYA
ZpVsjdBNzhDTkifiG+l3Tg9MUuNRlc22kc1srQmbc+nppOpoOOxbhqA4E2ywby6Ud8vBdxVjjWBq
L9FJMH+vOift9z1BbZRqpttGNc3beUr3bEgPhVngRuVUVu/g51E+bVKEvCr00JycUGGKW8bwpghY
ArOqEF9UFhG7TAbsPVW5jCa5Kk8JhonDgPUOoEOiHmHXKfp6YuLUlqu/Rp1f0v3Tm91bggiacfZN
nXesARRCjVuqpuavaex/x8XN8dk3k4OIbczQIdZDgIKYBFeRbPyGMthqws6HnryfJoZVW2PozRfL
5Wn0Je3wz61m7Xi3zuiHxzkT+RJALMvukAxkgfDOSbCekn6JN/Qs3a1nFgisdQ34BD9MjRFZO2oP
JKyc9cAzAK8yNqEmytRzPEASoGHBVnuRs8ukmYqB5eJW73DQTgdDVKGmQ6pG46ntSD2GEBCR5Dv+
aCzwMEssNgl2VrjeBs6CgU2cEhT2Gj6/W4f9HSsQQTxpOowQCrzetyZeWloWrcTYkMeNbou87h9M
wk3ULvq0OpG9qLtXPwsW9l9LT+qGDdr0NQx1+y5JxrfrYKi76MyNx8Ywo/HmW+RjX8G25lzQouzb
CgzuU+iENGQ6rWRY6iQ+MVk7mSDtZEa0h+SoD1w9Kt1VBGc/3GGK4OrNGZFZJ8CUbzbM4kFgqRAo
1bS4nnIxLOZUOz2U1IiDzhJB8mIHFAZMXCokemXJFzjgZviMS1rfolDIkwUu60rZFYLZFC5bsEUi
XJfVbNPdbVK3smJPSHonmsRlin0abjs6HgziPHjy92ntVt9ZJPJv9E0HV6R9ULAm3dVbPjOTFCQU
C8AW+N43OqvjeGNBUxBUE525WQFIZsqgRsSxTgz19ArpGhiDJ6kjsTD+kb2xrU0WMHFcWX7upExc
p+Qpp8/8I4labu0+9Ys3Lb380rcepJEgCzVivuitN0dm7UabYGSRhMDDTJwblVu328bGOk5z6qqb
i3wbOWl54+Qwl5rAX0QpI/HXkShZWNomPyrKA3A2G923iCwNFApSTlSNzG+67ComjeGUXE1Rnb+1
NrN8aAMJtikLhndcmQ8Z0Rt8TjxDrse2jdXetgisrhmGMbHgxjIJQi+4xSHr+7PNbbHVlRpC3HAH
RgfTGiMLjJ0ScCXv+y4i7g7cqcU9CXIsOE9JjfwqMbeQ3nLSg57ZXGx6iDUpTRsi/YALxWaxiSn0
9kBmUtE7JzuvqinTHiJ56+N+WAIRBm60sXxgvYCmx8CZnLgCxjYW5HcHxQN3mqeRialxIi3BiYp2
0CBntdWRmzx0zfwPrKLgV0Uh8iMHe5wfwWaDNb2QjP5Akg+BwlAYN2B77q38rlXzcO2mvrWBfxGc
spnkm1Uzy/+D5vIXMXrg1j/LGBGaIL0JVF/x6Vu/sqDtzGpA0ha0AadJeWGXQf47VrQamWSw2rmX
O45k/lEQmP7+96+MFPOnV0Y2sUwncBmTu7+AmVrPA7pSiXnfhS1+X8bx40o3vnHG9UMHCJya+uPz
Ff+nRbYr5laNaH4MP8tqn1LZf2tu/5ukOMvlWvt/K3H/hw7ln6DqMCf4gX8B1f3fTMuxEdocUOgB
1+i/dbjot8CL+Ke+y+4OdPsfdLjgNyQ4z+Iy5ocXmezfOpzt/mbZHP5D30Kpc3gC/Sc0it91tv/G
UYTu583iWTg0o8DltX7BUTRpoMzUEM4hTmc6g+iPS62ttGIn35sNmWcU7bm8DbMYWlIEU6OGnTYN
GEYgrFTrdAhGdiGfpKW5AbpUf/KXnE8WkzZkDK1y4TQBRwXpZFnu98lassIGA7WTCy6VznRsRWs3
GrOjXyfb3KvFrZvV9h3oRiwO5BjweRj1RdtRdhRAma9goT2EbitYDkk1m0gmm4Y85xWRu52gDSl3
Vb6FanaiY2gdtFJu5l4BZ5847NnLbGDuw2YX4OXcuIUk+O6Rc2q66CpODOsaoSzZuzP4LSvLzpNd
ktwlZUgWGUGy8ZwPZhreWo3inUBmuC/aLFyh9cwrqePpSCRwuJujSJ2KzEw/2EHRWj1ZNH9aw7dA
G+HBDMx+l6MVblTEa4aZ/z0eA+t66PTHLMlomHpiUpcb137HYyOfYYSmRyNxNkMVf9GcHjGqXFym
ysMkT5Vr7bMUsQ4LiPEON13tYu180Cu0Fy5b2sKfDjy8m7WtnMckwre5yHBbr1jKABMa7yhn+lKm
ICKHIHjxc/OS91bIYrIBzNuvM6m7bZR04SaUxngGgdrjQrBOVdVMZI/dPdAG5v/lcFv0C3Nz1kvz
LPiQg2rdt0nB7Kl637ybHR/EneQUUtLI81oJm6h844/J+0LpX6UEGW4LRMA94SD3ve+lsS9lF95U
VRKcoQdMP4CTjSugzE6HgUTPZ8J+6tKnxY1ptdkPt1ckdaYWNlECRrASDZOLrBw+2kIyzA/JUQEr
LVBV1lZiMayajd65YW4eM/UIbwsAmGD353vYVHdFYO6NRMFFqjJ15AGXnbNuoHnKLGL7FmhBt8m8
6b30cr0DSvTKaWy8EoF/hOc302hEddR9EEh4FYQCaVBBOul8IpV5q7D2O5yN3Ho6D0VwYxmudz8k
QliXIIhzdmPkqrpNPRmIQZVbVHI3VIzh10apEnJJUenDDhl5s5uSlkGxgjjJkA3XcVVu3ZmNA21m
uc8bpicKMFFIh1QOBgzjc+bQ0Vr6swkOcexw07XY4mhYDdiGkHRLqZcNqDQINnEZK3z3uYWbRho1
Mi0tXRjS0Wer4SCtqB3WqY2mucoLN2tB/Oc9fEKjDod5U1ThYo4wG7CjY1gz+Ulxs8D4IBN0pv60
VDsKjtnT02/bhyQBOga7hVcazY+2yOaI18W0vTNFWkYcjqgeZVYY15DTUCSSLQRJjHrJaHrNPnX8
ie4BD7fRdsAHlu7iygjFR4NAX5FZC6F4WA0tdISpIu8VsXT6UivumAip67ZP+nDa5LGVwXlDjoQG
aytKj+0RytaaKS9nC68pge4w2eTDCgqDXJWLRsnpjrZj7pCB9Iud4bJnu1o9CJgi31XcNS5JIp71
xMYyq7j1ATjmu1m6dbitBjLf12lR8+1jz0r3yahJkdvEqCm/8sOZ7W+CGWVfyTSwjn7XD+V7R5lw
touCgoSZXYUxsfrRYjoZBRlxUAlbtJ7NLYZqXlC2xYZoCtowIPJAHqdY9x57bgp2GzoUDNt+Be8N
3hhIzTdVL8D5MtXdlWwEaIs0nMGFakafIQZJL6WowPTFIzy7x3TQL2ENTFrUHWcVjzZ2gqXlnZNb
LHtZArylrocHukOa3TiK8Gtid4x5ncGdXy1z/lCg/je9Kevn2OiXfsaNIfJFlR+Hs8/vBQw2mJbn
sISqsboM/Vg4e6h4fKIEWpdcrkLfKdlL30x9aW2NVMdyn6h2sDdNgO62teu6VGdW7edxcHWw89Nu
eMiroHTu47Ib411JrckGT5/PdHc5hE9Ye/W9V5IMPqBgMloxIac8lIGVfpC9sbyVymgd2oS9mz32
qBnjK7P5oac5EIPk0s4JXq2DX2hRIHnAYfCmcT2GK4amTB1CrPWgA9p5R20HmVMtxtthmLIb1yBo
MDpaX4WOvJsK6R7j1M/vmOFJxDVGtsZsBtjcSv1V4OC/aw2A1ivk5egRpPp0N8V9Vd6OUdO81Y4H
H7mY1TEeq8BASQ6rbz5K6x3CGEZoe4hu9FCNC0svD98SRs9UVUMxgB7jAcnpHRkX63hwwh9hOXeX
dpLqR8x4l/bqqAmoGTQ65sqBAdzCdvw03aIg5uWPLPTRRHMjNa+LcfTvm8byv1TKyPfZmNnBLkKO
KC8WoApWhSndGnXUPzZJ1yZrUagaEmbY/BiBI7yoziaB3rkppRAerXkrXFb4YjKNI8RoSCEkJZrk
Fckd95Fwbldd6laHBfG6xvXJoRgjpzAzDV+CJqHKOReR3ucIufbJtwr3ozH68c4v7PDRbEB61xn2
O0yScYAmbnmvs+QJkk2sqqugmpIXfzSIvWgrgeUzlQSlwD9tQjtAd8afymjMs0j32sNxdO1iJCmM
qYgDp2mwRjR9sQtxtiJOGJMLryiaxZNOLeMaSxIGRJ0ILF8+hXvkKA2IF4tLu1askl05QXiHcYWV
dyq3aYl+IwbNWGl2HOHd9flYvlQi4aJrkO6WTPMYM4eKI3gb0XIywzwth5hIONV2mAFMnn+08fr1
HaZKY7rxfPzBdwaiGbZCRNaRvmUHEU84lPBtWtwMi2pawq+ujAJ0fRZimNknfeQll6ymnW5Nq8R4
ZxEHS05uO3vmhSHMTJglIpmDS6i5jxpNT+6cG5O8j7vMa59jkBgajgSxK3QXGwDyti645SNiLPAQ
wNIUnEn3auiix1hX/l3OzgUDU8y6D/0xOxju7BwiL9Sb1s7sA8+z6oYDLSlKRgZ7eE648yfcnhsj
F/NFxC59vjWG5XMGtaBbt8SKqBoXY/+uQ7+jJ2Vq2D445rWYFDGIPr5HgCzWvcjAr/v4FUXZwqm1
ZAcDNEMpEJSnF0IBCjBbP3kEKghPid1NzTfckHebwq69YBYKi73junl0wP0PwnduB8+hlZUBxK0N
NOImhANB4jt1nlyFGrWnulfFEL8KluVq8H2a0xF6j0YYO0+TBX9w10xTkICMlPJBO7lqjxbVXrSB
zMkHjzkWy7hXuOtGlToJgG6TXmPOH99aq4pQw83ydnab2y6w9F4wKuIc2FI8Us/eBaZECKneO3cz
nTCMdh+Zb9Ghh7pyVsAOvvHAyB+AsZcfrWzHfVd0VrdTjlEQE+tjKuTcoPtIEgShhq5taohNCOFj
xQOq1WlAYiOjiQnN0XF3nRMsdiyis/2euAjtR14KOUs0Crum0oBOChd9pBum5r0V0/vwSVAdrIxm
5ca0oauSAIOmgU+MgcsfDmd/cWTH+PCHg/OfTzzLwfoPOgFtsuhLWAKOLn2ww4pxFJaA0sgf//OX
Cd2lHY3ZWgBR4OeXoQmnbuLYUMdA9+itsEhyahg6N/iHt/OzArG8neX7tbBkmJwI+c+fX8eKDHsg
OSSPs6zlt3x5wvvDzIkgmSCmrrVRZN/LEdsSdvbKDv/h1e2fZYjfXz5AAMFKEnC6/fVtolQVBpCj
4Qgttd0RoRoe7LDyd+DtZi5SUd6FHWm/As7X12JqcByxmxjN6HFmd+F+bjMo6imXjUfts++f9a0O
UOt9p8PhROcB6OB8Xqi6hsrKG9H3LFUN3cfMxVJGdV70e4Echp/ke/MXl8ef3xAnYTPgyG4ymgDR
+PPnORMMZ1Yv20WKFsSTiowAGZWeytwydol4xidl6Bz//mL584s6JtYay8ITs5hvfrkmezBg7ohZ
ihdN5osTOOylB2x8ySkLpg4X0L/Vib94h8uR/ucjPy8Gyps3yG9y3V+sN0nk2HUZVsNRzZmx9Xr7
g2rLXWXq4R/e1Z/vNNgPbENCjxyt63jL///DnQb2yGKOk9XUDQFMunEt0O7s/S1PHv7+HX0WJP7y
lqiQ5BTJNtGGAfDLl5YUzMu82SuPg4vvM5VsKRjkp8kFqdCRm8J26Emigp5zXpsqcVMoJoC3cLJo
nWHLJz93f61F3oeIWjwf9Of+kN4s9op//6f+6TOxLJtLK0LY4WPxnF//UsbIQ9+E2ZFCDDM4tqEc
bnWjOSz9x6/jcNv/bubywN/+/Nn7XSq6JJHpsY45DGx6AiA4WSimP32+zv8XBf/Bn2e5psNS++/7
7k9li4es+vaefiv/klX7+w//rhAG0W+mibmL9kabwotPP97vTr3A+20pRsWJh3ho/a4d/sup5zi/
2Z6HSzvwg9C2baoV/wtX65i/OdxvIU2Jlhd8/q//sin+a3H4vS/zr5dDtvI/LReBS62kFVkYXNEI
IU66i5Pvj3cxjR6t4rxLLQLto1kgYLyKiBNZa0zduztQLZibafTMNDbc+4bCvOXGwyZQOURrv7M/
TLyoh2IEA4tMdyOrqNq7GJhfwbOQlZ59gO56KLr3bjDpvxId3hI1JdeE6PV9uBTQN7L+PGoN/UdU
x9NepyK4bw0vU9vUbN33mCS8u6pdP91xgN9NkbyChULTDoPajVT+cKSzBdwB/LGJquVd1kbAJbPu
0EaJfAHsEX0Uhi+dVZpO8b43YrlzaosjRZmX+iPJ3PgVbKQ8zSK3N56vh/0MQuvAwxgVzDZr7DSd
3CR2SaQ0C2/gy6rtBADm0KSYebpJ+ivVueYhk2K+VT6IzijndMAg35/Io9a0PM1x1j6N0Ii+Z9QI
Xw2m4Zy6UD7Owoy+4FMIb52gcy1iIAiltt8wXQszolSrcuj7YBunAk7hVOVL6x6unKGxixfKfk2G
wXo41YX9Tp02NMgiyy5ZCmwjC0LxUJJLI+AgSMHGs+mtkiLI3lJ0yi92nIQUbAj3kpBCeGv1CFpG
Y7T4MU7+cFVN4fjSsCu/4gvnfXqoc3FHsNEz3WvlgT/YBFQ5wQ0py21shj+0W0CV81MS8uU4Vqeu
WLalpfOuKsVMcgY5vmO7GK+54F0+KKN+cCs735WEAAFGSfMFgABPY5+5MFOnZtPKwrpy0lQcOCF0
G+VEvPVkYYcl9GiOoze2sHqd/OwZ8XPYA7nyCMc8skEeGPO1ROrm1Pmqp7Y4SDtk3ugG1YJoJRHc
h1hHfKaZq95WFckRQY4ssDH/+f0WN+p3m48kZt/ceteWNeZHpEri57F5aQezuqhmjj681k2e9Gjh
SlVO9TxpuzyFTMsfFRBNEDSaBqpwNORaUSZwJzpqQMlZGOBqGherqNvL9kNg2o8W6KQlkxYzbG5f
zw6grlz5+jrVpQTrb3PVZpTFP5VBZFNjydZvZ1R8ZlFumRujr+Xr7KXN2QjD9h7oXXAmQxPuJmX2
K0fnH5278MNEv2+plXvGqIM9pfLGVW8kZ6+f8o3yinRPhLt+sqAuX2MfIpHtGSPsqZjo3apL8+Sa
TFxy68yWuxlSB2rBZC29abXqzb1w1LiiR2laS1Ju64BT4Xs4FyJaR57RHSD7ujtsvyFAgOJ2ls27
sDQgr5j2OVNtbHMwdn2jrqoRzE3YoTxEpv+YdsYmsWobJOmid9qpb2z+sFb/xR7J+dWfzKpHtoV1
2mIMwyLMcOaPqx44y4D4ActB1lMDvRq9BnG3BYGacjnW7UWDdVurivGBqF9KAsDplvLM/tolvklY
MYZYi8kJRaVK5YbS0/IcjQsCkmN6cUGvqF+arux3IlCZs8Ws5VbbAVtEvBqI/d9Hn/dz8XlvO6Sa
3SNNDQSlxbIuKG9iYqFGx/3s4Ste//6tg3H9ZcVf5lXYz9mxBS4bRfOXFX8yBhdqUWLuLS95iEp6
xOhlejBC/Yq+kK+spsAiCjj6EvQSXDDTI4RdAglcDX0LVsFIvN7aejOmNGbAMaqM7alNn5fjd6AY
ySOky+kYdOrg6vKI1w+TqS3711AMOxofuz0zoJNd2uG6KLL3rtMNWGmrutUQh47sa7sNAg1KrkUj
uN1VFRmNYiQaTRHWsR57x1+bhTkAiCnsdYxhdzP6QIVwSlWAL1T0yqG9fp1Gc9wpH1CAjYJ/7SVT
d10mII9SZdFLNKjgBQEpPvqVE99OVTbe85/Brp9l9pJThXTSo5o3UTSE27nyvb2S7bxvfOVcbBLg
xyQN8VQo0M67ZLCTh4kD5rhScyLW/Nlq7eRFuivw2u85zfuwSAgClg4TCp5BMtv2Iu6fBxvAd0JQ
6Dl3YOJ1Ze3+8E2q07KhKM6kx8QKS2F+br0S6wFWIu/ZGDwaP+fQeHCEsgl0RpgW59BsvkNW1c++
0fjPXtDUtxCy+9sQBsHJnCvrgN8nvcSd2R/s0T1WsB2GMQ03kJAHcn2C4uJAWvrOVkrdaVUV19AN
JIV6pZURw8VxUU4SHtbU9Q/SRsQx7RmNHi76G7aD+LGJ3SZax+VTOuQKm87sgSgYxEx5II6ZK9yM
QGloR4XeJ/S5Rr66VPBTdqFfZhemfIydegyHOwb7EzixKkzXZj+2l6DF6S0M1d75gQq6PerddPAq
n1p416m3fc8sg0L54laqtLny9TxsMNYjPSdOeyJbDABlWUXKLma7QsGDTzy3qW8AzzyUdGZ1qqyY
BU1XWvjGnsQ7mhKPifXEUiWWNSvxWb3iZR1zEislsmMYP8JlhaN4ipBMj5ihehvNHuxlLUpvP38u
jPJzkWSlcOFLsXL2yxoa9inrTJnZMwtBatLSu6y307Ly6mUN7m1Xn2rVsOa2Nkn/Oh5B5KmJFZ2y
gPsx6JrzbFryFSO5uWlQvDeF0du76vPBkC/PCLLUTMhKCy5GsTxDOs5NxiGw5zoj07U8gsyoJQ4U
GdOgNoXVBY+T2Xg3oi3deAOPIvrI+hQ8ddhYhbcnq9CfDAwqO7E8JyW8mE3++QSt2yR8U23u8ajg
mnZ4TmXtGUv9yBoKUe5Ajafax+BmssV3wiOd8SpfLCCcdIM6PQKj7AJYFoKvKPjcNUzLBoKSrx/z
sqWgI47NRYF9CKZF4G3SZd9hsn2Mo7RbA+yGNRSXYbiFIqXP9EgCp6Qg6Rh7hCMJSFb7lq3PZgyr
/JhLaQ8rGaaQ6cfIXde6kZp8WFFcebbIj87QMFxmqPklbeCcM+wN7+vJiqtVL1Kxs9M++t7NrX2r
S+W9j6UcbzMxZU8GJQ8PMe4ksUlMGRyHBFg90Aqq6yrTzW6AlSvQRrj3r33DkYcejOAVe7qJTDua
0iLh295txajo1MZtdT3IcfEWEW550/34YvotCP/QmNJ1AW4Dxlpo7UMMo49BwhvPOTUce6MlTp3m
/sjwN0QBbgXSH14p49abG+cYAMZ4qPLGv0W99NbY0rg+gI0/toTUshWO4fLoGBkoyAruKEOiMYSv
a7UU+EQ6F1d+y8jeH1UEjjEz36DKy3enqWkdH2Z0Ezak2KyVQjRe+X4SAEqBXfhlCjJvz7yKuxjd
JzvB4CrOqg+NU9SN6gDWTp/ywPA/FUUO7J2f3GUwW79aOryd0Y8eiQVUa93QoIx4SRHVbAlyg0Sh
7tLJLui4BiDGrNPDgtZXw1viAWFr5bBEYNxyGzVFvOefvJkIwVv+Im87VLWPkYryO6IhQ8mj3Mzu
jG6JcTtlIxg0sgvEvOe7twtmP2boR1t0jjmCBj2G9N9N2zA0FjkaIlgTHWPTUhS2C7Oh2y6KxUtD
K/ZpnISkfoLgQ2IFcquYxvDDwXwM7JRYrFrgGlj79BZWDy0GkX+KTPdHpaI3gg6MxDRm8VUUN/UR
ulvI3Q5RflXnXXIPtGXas/KwscYn/JzDdANvWj1bbmu/uJ0lD6Ms2y+KcsgvsTD77wX3+yZCPT+M
w/xaR+az48PbxXHr+UfPba7wON7kdIew6Ye2L4HqbQF2zBW3VSoaYhGwBdcyorvi3Lduewz9gedu
DDY+ckrnMA9tvrWgHHzNDK5TEzv8WStDIr/48TshE3ef+CFNZQFGXwx1tWajrCXNp6n7ISXtvhEd
ITsfVvol66mdaydGuGdZG809mVP7kXyQ0Ous0cP3sWjZLjqFCC91V7PajImTPwAT8HEfokCuciAt
uwA65r5vHI+tcct02Ig9P9sEUe/zWyGGltkIPz1o+5Od0QyYh9Te67GMjwzW8vNCLV0YVO1nLwTj
do4jNzhw00PdB/MWpKbYt/GsOTg5DjnTYjrqKLL3mcfra7MMXip2ghk4/Cm6og1i2nkt9BvHksFr
2mWU2I9ZjsvaKCRc9Im7tp9Mn2MoE3T8hIL8u/gaxfJqDky6PzNyalZsfRtGI7iJOgg8QfsoiHEm
K5vQ570N259e3CybP3IHO7mThs/VULOpljzbZxvjqRp7tQ/NDoZy6ui9uTC0IRCZz7g4AciSAU0B
fEJ6yRowbwlxhrs2iCsbnlXE9V0y8X9EnpgffaYF7bowibYiUF8oB22xmfCeb8u6sa9yjuw4qRP/
yqGO/E6qbPA3Lvioeh8FkfHg8ai+deh4/+EWb7EAJ6KWdmQ7mVMfAt3kHvqsYFtk1FcVeDK88wDS
RQl/vi7pastkxypic8bQwthU3gdw8zLfRcxssRlN4BgU/sdNO8aXQeXzNRvC82BjTTAlvYSvzXw/
4fS03cFadbWd/8i95Looqpp5XmveBV7cfeX64uHlT8ONmoPkXKZ1+wKFUEFiKFEhgEUYkHW4o7/O
nlBPfhU5X2le8774ud+tB1O4R8IR+YknQXrxy9hYh2kOBysuoeEagk1FnhyHPs8Aa1LpJZnr32V5
69/D7Z1eadaZASgk1bGfXcxLue/ipsc1AVGU1DnP00C/EP/2121NYHwZn9CZtRRmlrTxbF04Hcys
Iv1gy7jdk5TAhV0G7g6VPT+4DHJWOBZmfMjxtB0zSx/YQ5oQUJrQdxkSm/Etycz26HZSUzIp3W0B
ffOpz9j5AX/yQPZIalzcPjokZUnasskmZkoxA23+BnvTJbj5x3bIX7pxorZw0ElCDLOihINFdIVT
Z94R3cPCy9B+b1nFU2lM7YnxkNwXpPDWPabZHSBdzvwEeh4jHKrbWbaU0bJmgMCYAMd6WRPQyFYa
CrcYXYfOqqhNFmyMX9jDJXcWf0qzHqKKnxiHChtzXDvPU02CgVEjhMqkdg5pwQoRY5jZiIG5J86L
6lDbhP0HMvgrKywgt+cNqxkGD7VOyGpMsojPJM/iqxrmTR2lND46OGPMY7KkiNL43FdUv9mFdray
SV+GKiR3geNuqcCeTih8eJX76J5z+dqOSsVnW2noEkZcXaULV7BSY7BBJ5i3mfZA+QPQ4myOTf2c
oi7zEcQWTuPGwjpGdW1gi/pHGv9f7s5kx3Ll0K6/opFnvGAXbODZ6bvsu8qcEJmVVcGeDDLYfv1b
PFeyJb0HAQJsw/ZEAlSqe7Mq85ARu1l7GFfegMIcOJOxpvJu1ey74iuXELm+7bzK3svEbXKsDTt6
hPEV3sBlye+5q+gzdaLuaE4eypLwWuc1hYmyXjqa74W3gOFo657x/lPuf3V6qKHbHqA653u3b9Sl
BM1waBMajAA+YNT4UAHccAbcklp7PmHOi+a6dq8N4BB0hJptUqB9xKG5skzprHSanStbnMb2QOYa
bnwZvuObr1MVB4922Yd7QPjpK3ate1RZnl/8pMVz5SPIFAgYLcejBvav78L2f3UVhslBfdA3Q1af
/kmuH9LSjiLXAS8zTe1WuKn3s5E9oTclSkpSAH/kwl2TeKklyE/27gj/xnFtQKrJpi+aWnWzzV0R
byeCdySfFr0STYcMJM3fDox2TEVnVV4VTtPrYJIGIwLhVHnBKRGktle0kUjkXP9c/6tV+/+HQrqW
R2PQRqz+u2/wf9Lk13H8qXXSys8m/vvm/N/95r+251068ogZgm4U2W7TwyP7U5MPzEV4/7uGPL/y
t/Y80VyTQDbGGjwIKu98LS3Qx2VCzv/DR0MitYuKjh3MFtu/ocn74T+rUx6fbhdZ3g4IT/Dv+6cf
SzNKeySyftz5bhXbOzohzXpAnXbWdApmBlJrtOptk1kkPXoZTTwbSMISeB3t0VhpT7u8Fj37Ui6B
fdpJFEK6JcaPkZc/ZUu0XywhfzlW/b23BP8BbYCra5Y6QMsm6ZaqCg2WpSxAP5beACzFIF7Uv/gQ
jV7+Ol87BmjbwRmhDg52bHsAZIdoevDGqmACZn6S3ZVHDwMMKsnK7guxhTnU8GgjD0NJmpbDRASZ
kNJIe3/t55Mx7Et7ULdJNdGP6MhbPkXkPH+QqJJPwPOQmE07/VLXcsW1ZzGhVH7JigggB0sma3TX
fA50r9ehldGZJ1TMO474XJVaqEVMRJT3Y9vmd/VS8SjZt6MYNJ6lqWsuCrG9Thyu1JaZy7W71EQo
vFtfwbU7QqAuslc6SDJ22yiXDB6rE6vsWjmp2KSxrz2U9NpJSa79FGkjnPCyHeiSUF/hOTpy/pb2
icKnsYZY5671UngZK6idXHQQKewxYT22LenZXFsy81KYid05c2gceP5NtxRqkqVaY15bNs21ccNw
TUvFMqSIM6OarWrBGBd1w6WpE15bO0SvNR1OB8GOg7+80cEQnsawrN/jNqJ5UlwbQN6YVGqFkeWt
G7ClP4prW8hZDhxOS7PHuraJCOTRLMqkJnczCRYjVlXUhACOwig5UCnsvutrO4nGyHigpx3u/c6n
vWQvRSb72mnyr/2mfKk66aX0RKzVvURLEQpAc/Upr+0o79qU0n+2ppYClYLG9t6GyE5o/UvDikZ5
/WFBZa1X87WDRVuuebKWYpbrWgZ3xKWulS7FrSJWijJ7GVv2OlyqXSSoxldY1vS9CNYav5DfhdgE
FoUwd6mGwfSquG5P/Hq1VMfaa4tM8oanXHRtlw3Xplm/lM7IyvNKXnpoxlJJk0REX2kO149CV/OR
w+/yuc3Uwb/22dzaI38KDMzk9LQ03iI41l+SD9fyWyPys7y9EU3Ma1fOXWpzPYm+e4Yl6NIxIk6v
TqrJ/AHQ1GGFkKrNPrx28IJrH89ZqnmBo0y54io4WGTHA3mYETPQrYmj5/b8PkgoFBHCazE4Pyti
Dwmiatp8CZ9L6Npd6oEjOIqN6jiVUP4dnkcU0Eu8FAoz4donAIOkXgS39bUEnrVV09i+oefQR5St
dreopNWK3Hd1AtVLc9FZSozlVJe7bAIWChaYbDZdR77umes49cd+GClCLpXIjnobNTI/eg2XwiRX
Pnx9Lwu9tWEhg66ma7tyWIqW8bVzCdjQtDhM0V1cArcuBxkuXb+IzMYvsx/HZzOjPr5V2qHNabgU
Ow0+KNZO2Q59z2ypfhbXFqg0lkYoWWU+2nMh1H0N35HO6LU/WsyMFVlsFa80xQ9y8UvVVF1bp9NS
QNXsN/1oTT9ag3/+zq491XKprAK3ILQQZjQvyNnTaZ1D9WJqO72ZA8Q5YnNj/+YuNVhGAOJ3q2c1
bFUuNdnu2piFikh7tvALk1TwUqptGec9yEL/NNWCgSWKXZ14ldDDlWmuvl1D+lyOmg6eEdek4YZx
O5YQifxN9I+tlGEZo13kGZoUVbDiz+n5hy7MY2KDqbQIp5hh+2tyYQOvh5Ej/0xChgBLcWiuRWKP
7cKCvykTIBcU300x5Jne263DdbkqtL1zE0+bh2IuQ1rD0kFqsnJP0KEk9UWIDtWDMzgQq9/jMAUn
EzeTenrbwnaZRx5OIZsIUMqXPWngB5t8UOodX5oKdR0GwYMGKPE6+SyPrTzOuMyVVPYLBRRFUDQN
GC7KOWwC6jW8VVBL567WQXnnkQp6URMjkzw2vFqt/RbG3m4Ca1ls2qS/mXwNlNQdXfkaWp1ZoIf6
1m9TkfM48xXGzsbrxVK5C6bgXY9o7ryg7PaGz60oDpFrCx4MaP3PPJuaC7tu6S1cMHvnBECUx4iR
NrJa4FxWOSgqlDFwwztDVckFydt/m1JzIMc9FncZa2prqtsoQUOV3DOUCNlztiyI6Mw7AhRRr500
s5caLPfGmrr3mrDTs6579x5Alb3pGOw5KFGYz8qsjF/Y1GPEbdtGmnGQBFMT6W0NrTh6Lkzp3/tV
8lxVpnEfVVO0yRiMVmxLpNk9mUxrLV2UwjWlVogmvO/meJuYBNxXmr+2eD2huSyCUTAuPwm5U38m
EOR26KtSsEuAi9TSOTrE9KBQRzk69Pkw/8xjK9lA8U7h73FpumPesL0UNcRWFJ3kI9HNe1HLeT92
5H2jhIqS7xXJZ9RNLrjFIXtEpy/BQQqWNfq43CljCEB/BiD2y4Eqy4T8Xq7ttrWbGx8KygdkwTlf
QT8agy1BIItF1cZ0j7msebiARXSPXZzoZzXjdJdGE9+E7JVvdTv5fOYk1/asyow113xn7/IAWrNZ
3j8LXi0PLiRKYs/DkFFyyQJvy9hV+zlb6QDbz2H1kycCNJ4qioG59vaT6cJctSCh9CsWf/2LyVXj
yRFMn8HZyKz90Do2PsQY3E4zybgznA4WNMhA5zcet63Pegqj927KskftW+HvBhKLz1uZo8S6imuk
Xwvm5cD/gjAMNqgr8/tkdLm3CIdvMdIvhZim1eQktFtN5A5EuGKPvL7PakgtjAb6KmFyw3I+vZ5D
M7wHGb8Cxomb3RAGlXE7igYAkcQIaCneo7LGPpHZlCWp4RhGflsd9JR6b73BJ7JcTDVcRJC2WWHd
DXZso5aIVrMYavB48BgT2yPm6He4+9VDQzuCbR/ZJadOmersxRmfVXLUKesuznRpPMVl3wD9+sAB
dlArFfbxj5joqmQnr9fjys1i59lMR/UGhq++D9s02470km+DzpM9kyWuO26EWoQY6DRInVPhf1eu
u8jZ1NZvDcAyp3CZGmsYCIHAMGhaOVR/fs5zoK2lLDB96lhD6iUobGxpefRfQNPSYBc6TIPAKQwZ
RpuHhz7TVvfnn5JAKPBhZg/ew95/dlLK/sM8iDc+nI4Lfbus74Oh8FexKl5Elj/mcZFsaAu3lxCI
A5/ZCHJS5vZ0p5iuxYydaoabHJtvfBR54Rv1ON4gUU1Oc01UtUhQCQLu9V6kLqFVLentynvsC6++
4fKSX1o55T+II4sUG6UNfmbTHO/nDJ9+jWEmbslTQ1Rqcz1+BMlkTqdqdHoqEKHVk1IubSsnIIkL
p8kFEsyRzT4qTYTlkpwIZb/aryuYuEF4C15nPli8uX4ZVuv9kjJqum2fZmw/djPO0sYr+F6vBHwv
e2/T53/p4S7tINOnP/DZQFCyn+Ts+qkKebfFPXCfMH70aewxutrN93Pi6F/OgnyYGgaEVvzFk/IY
ZITgN7VfYxW0Nz7jI89oRGeLrJzHOG/vfS7AnXGLmQBVySRmT5PDm7pVP9vOXZD5w8Zk4hG4JeIa
3+dc4BOapZsRI+lS4AO9anloQBSHJ9HZ4ocpLZoQndJ4mPgNw0phU/10DaUPQ9UkNxXE84ekGNRb
A9Pyu1UiPORlZr32gAWRw6dRHlkUwBq34HMyEVxqeTRCdzaOGUmSA4T3Eaavg+gmJibsYy7JKM6N
7sj5OCz4ZR7ZLcaU2vTClSA5eA3GcD2yxLZidzjcWgiMj2LqAZvFXYm65dTFrECkixl2OSxddmiq
lsrfggjqR85ytA+s6p4d85luIR3/1eR06V6YbXoIRAnSfwCF+yj5yTyQ9S+/aJAWH8stGxUXoCvY
NQDNT2bXdPc4c81bNqrpyNAfnQLFC38tnGhe11Yr+JUeI3Rg4vbcmqzaVKFkCTNx4ooMfV6ln8AH
mvhg60Te2VXBHyHLat/l85CmDx0zyI12PIePC1p4k6f3Bl01XKm8A0s1C3GG1WT11D0M8zkVUfjI
usO8dYMZ7COGNnMRqcLPY4HGaU9twuAUpBMX3I5svfrQamWCoiwTg6tpnC4v5aQQh0a3fGvAUpgF
QNleAJzTvJE+k8yDQF0mEUbnyFo7VE2gYO4m1ppUrC1YlJkHjSSatR49TZBlLEIB+diOzPRRW2Ld
rYGX/F0EFihkkEOsloN8WVa+Y5ByjFskx5AI8a9RZuxcNRlPEoMAwINC2nopxHKn0PTzNmx1Tchz
gQUHsrOcS+FpZkjNvjz0md8ey26KFY2uYnzFhbTNfcFs9NGgRfWBaJ9QcfFm+EvYM/bRaZpZvvmg
BDgA+gMG4/8Wmer/u8Y5KeZ/DX88faKJ/OW/fRb1f//L+bPlmd/8g5715+//a77U+8Nf2ueYdZbr
CiKcf9OyfOcPZyGXBgTO+S8vQEb6W75U/GEBU7ACnywp3fClnP5XLcux/7B9ktbkUl1EBRStf0fL
cr1/jKMD4gCjSOD+n9Phpd1JqyMRyUxzAx/UIE4GksdlBg1S9G3tZl61XeZNuRwYcF1XXetmW9NQ
6jyNbGVRh1K7KeaVxE093pgTU3k5yOFDvsytGjoibFUb0mKwDXrKBteTHbbIaVeq0tOxAM8COiie
3iCct3ufxMW2VeZyP2nUHcsk2ZtsIpKtPmtVxWL+DV2enUPJDE85Dzhqi0mIMtacOMYAEGNh8pOW
u3f2KcElm+jqMbaL3RgsxmO2WJA9ezmr6upLDotFWV3dSp9OwGXupJGyCY6dKa/OJhE7+1kvdqee
VDKdleqpozeBfamR8HYReI79hFfqphAgvcDDPzVKjZ+c2dnAbCcLlNVitQKn72n4Yr+qtIdr0pbz
u5HRnCMM4xysxbDN/Hh67jJaEedWthG02z8t3q4wQZt7BYMjtLZXsb08CqkvnUXq119uNnNKRfbZ
BNKwgD8thvJiLVdpmb0R2qnfZMLYt7lY0D7+tr82RVyeksWqnonXaDYXkuYnCLfo5HSWZ+/xdDOT
224rjoPRc4FibMd4NozCH29m1yf5O3d5+Jt0Ia3NccaZSXKjOYMeqj+NOsmgpLt9uDYKrbmH5OYm
mlP+KUkdUz7snEZvW6KGh5K80TaeFzRIzuod/DFzQ7UAsAvbVvYjmcritxr4Lmzsxqlf6RbgyQQh
DcaX1hkCAGe9rYhVeS1btLlZIAG5WSDvCs93jmGh4nth45NadcNycFVXA0VlSIjTGrFkuo9gGKDp
swXh8o+07xu+xM+OyjGJOY691L9ZQ2NKEGbpcmbaRbPPrZLISnOMXWMC6mNFv6fa42tqi1DkGMHA
/dcWPyrxNqJT+eh7bfSJuZAFBC8N/mO0bEJqiUg3cTiFuMqKHago0e3GJOH1UNFUI2sT1gxPdDM4
fNuek8fEzeVvoRiuGKOqJs+csN8qKosYSN5wvCCJMrcOU+95B+U8MMxvglDT58xd9MXhXys2lWE5
v01CLnykWaxhgmQuWlYSnYC7hpO0NR2eHsAx4c4ycDY59hvF6tyuqs3YM98cCkaJd7bhB+59nMxM
m+AySeYnU/haBE87Oqk5HuiTk/jZgOZtgJDmAlHa29RSwTIZ2Zm/hknx+qL7CcGomCX7eLKkrGaY
kThZVO1atIcwfMzH8ScvQfc4WZX46ZZzfqAiqB9HKQh7dvCNZ3bT7/lLISJkBfX4Ohqp/MQaYvnQ
gxNfT5EmpMUBB5AY3Vs/C20C1m3Bn3WOUebx8vg+AV7UZzxZbCIxNUnPXF3Y1duBYOGBrDt5SyTQ
jd3X4S/4jBb0I23oV4zh+CuZ0+FLIvvvPBVNt9BLh/ukbI2TnkRxT3OeS7hEmB1WrjW5H0YzOURS
fIddv2I2qwsNasBZRcUgYZTC8I9N875NLawAN/zISohSGL3eZe4xzYOO/cCkD/ILcxniA7QZUxnl
Egryof1DHopIKdY+z54krrN+bWVWQlUU6+RYBE51Khwu/JsA+yvZaN+OLmnqj4fJY7g4bgj9MR0T
RBcBko+8tWHCR1SN39Zb/nbMT8LT4YvngHY02zZ8BEDyMJXUZeU4cs5wg3InDPZXV6Po6mdP9OG5
qHN0RtdNflZ27J463FUiKp25d5aIac/Wwla0SUCOtMoOdmKITS7iYSsUQE8+6s22Wp7p5ZSxZ6Vd
gEXMwb5zyaKdm8SMvYjBQdIGjnhr8Ny7KehX3YXARgmeRf2Goaz2UfCcv1eyZwKcfg/sqi5Te4Dk
7r3XudkzeMX4l+XjEa+mJOu3Hc7OeWaG4ICZlBwYQ8XbcKVxqsNYHNzBLityDRQLNvVQpDdSFEO2
tZwBN8NgrjfNiuSxwIg9DqN+YHeFTVeelhz9wzS033lvo7g3GeETISbvYTZJvMMfgEygQrM4BagX
JRhwPZIVquLfaZrJR0IE0bNdj/AxyF6HXxJHCSGwYfcRrO7nwJjsG156AxxrDtZhMhUH19UzgOXS
MnalB19mlfSD/1CMjn/Jm9ljcXgeLn1juNBMYp8kZGpFJ5qQFYBgiSRgA9aVgC0BEfdswwhLa8Cz
af4ofEgiCdQZxtbquPlFliuJb23OxJ9G4OBh6Gw2AfRmlVin2D+XOEnlWk4RS+Rm4F7moOjf7Vam
O1y+jjNrIfZ9WFTLMz6IawIKlN/h0ZQ0EZz6dobuhEkQKvuX01flLendcZu13C05KKPJqS5of0Yz
ow7WXNq7flDGaQ7m7ldBAG9ZSe2fGslraOW7oN4cEngnSbryE/I7II0ytOWdzOANrsG9JTslKAnL
xnOOXYfmAAnO787+YFnnviD0Hhpmt6+dNNkzVsSTzuD3HCGokhtX0XifBrG3Z5AuPbVeoPjb1Ool
Gkro1LxOGFabUODHqn0cREMXIIj85zYN2bXvB2JZDFVvAvJDZzZ0b2mnlMe2Nxhymlvu2n7q+ZeQ
9+rX/9lj/GJr/w9y1P8deHZc3OBfWs03n9/x9PmX++bz+1f7j2bzn7/1r0az/QcgdNfzcY5NMEkB
Tu9fy1/uAo4ycaGRJhEfOTb/zWf2/uDH0QLCSj+BXFH4P31m2/qDgoyNPc1ZQyzc93/nbA5Yin/U
33VFr/F/z+PsZQs+viYg2H+sQSQWyaE5m9vdUjdxN2Yj4z1mc3wHY8Z8jYW23gJwA8R0OKZcEmdi
UJF6hD4GQ0IGz7UTZjHIypGlntxvhvAo/pY6JGdTSdu7UJPo4lcpq2jiBlAFr2w929B4bXszMkOK
P5U/KtcZX3zBB13HXX+H/vY6p5zjVnU5PEMbYJ93LsvvTvjOXWMW6cHmHHHyEKOPjSzQGNj6aHEt
BT0CdKuCqdjYmIGNTnofky038UDK+Qx3eTDXTRdMD2EX9dMqTRgzONmNeixHVqQekZ/Qx714Lp5q
HgpgEyGzPxVWVYSn2R2YZQ1JpuApuHbcH22Z93ilfVR/Q/vtEElUGeUrB1FdX7qxDMNTH9msV0yE
fZuHacrqb7dxq4Rd8DHrX1mKD78rfKYv1gQr62AzjUZFxGecSKaD4e2SMGzgHwC4KO5E4JfDaTZE
/xu+ha5ux7hQH7ndWc+VZ8OIbKLgwXYnagppemQ9z+E9Y8S1ua/ywPviHOL2R8erQaqrqFEIprEH
xD0ewVR5PZvX8E1dBoQtJFTAC+Yz1k/y3uWu/O6UAWQB0Oht4UPT2MLI1tTRBumuRVEPZ9+y9b6E
iYcGJRoY4D01NmRedByWE3voxEm9CPVcWqSl5cXJjSL7mPnheASMYDQrbZbmySDzxCE6J+Q1S4gd
dTTBXmFZL1nXHedvChAxY0HsyAuXXd59Wg7+CZiOvKBu/+wKflrGUmVUJwr8CkrW6VPQUvCiNZet
zJw/dxdEHlST2YIV6Y7Vp7nYIhAUnN8yL4I3Sln8kFsm4bKPuPa9xc/o1ygfXyzPcmeRvXFIRyE3
vAuTvUljnTREESZnTxePy7MckFITX3gZiwdQteF70+QJK5lwZLb5IrEq7Qc/m4KUAFFKI//RN2PH
lQ7XCGclkaNcEwhBve2AfWXXYiIzAjF4jVNbAs7yA1o0KFvowsBZk01alo/Ea80tU1mu2ruLrlwv
05Ku2783i+Zs1j0/75zOBdN0zPIEu4X46BzMqJg/Ba2l+K0zqzhZJ8AdEAHh1NBb4yo+HE2uy5RZ
Oqa7GG4wKXhbdoCwRqw2/tEOCRZ3YUld7SrH78eLuir3cbak5pg3cOIdd3u0/tgYLAr9ieWzutZ4
7w4DX4SoA+kbEb5v576x0q6MW3E1GBKRxB1JFyrg3ANaNg+J/7OoPEzjZG7Sq41BF1MwjOzYshxv
XeXL7oaWBCUBS6Vm8ZSE/L8eYzwijt1+ZA1vmp8usJk+05M78G/0AJOBSilGdIglVC+Oj168H8A3
zIqir6unrK2mYJsYmokf+ET1pScgzgdb1ATWJ5aNXhu+UHsNfi37lQ86BGcbRU2NkaI4f2Pr5HSA
zLlkAyxgfgGTy+IMWcw5kLNUrcnZDYztpnXWHvnJ5F7PwjguTti4D02flLdlKcS3Z4ylfUDzCbFD
XNF8OWHesMIbZ2oTwXPrV3TdWZwMR4wWJJwX5XIH4LxkuTsuWvIgzFrJdRyQPPRFooD7WqGwN5Gg
QwpOfI6ZKJi0367ZiFTYRy1Lv1ZSc77CRQE7m48ZoUjyFMN7z/Xtps9E+VYxLVesBjFMt91gZyf4
NCGuZ12PW55DQHHHNhwOnqWHmx763T3XxBz4cxqHu5Q1zgcxUmxzcREeuRKCqB604FSXlbI6RsoO
Sa6QCTlaakrOWoOpFkajnmnwOG+wVIadhQy+wlT2jh1cCk2/VgQF+qlJNUH2+dox7DFdwEFy3kpO
b3tz6sILyD5jTQ6X9TMi8+gcsF7vDF11nyYHy49ksFw4qcSFPDKWO3pH0SNvyyTYI6y2z5WVjl8K
y+zbDq3heWiKYYco/BTyWCLSr/yw3cZ99ZR27phiWMcAwim/mntsX3mg5gJhu+05nJLOTNaCyUln
LdIQoBkT9nOD0+K9S/K+atMRtzoD9At+hwRmV2VCPgiDwjykWqOv+4UhNxWhqeFgcgvdMkURbFh1
qA5F0Vd0odLhVlA0hfkHqDHdTRZ/YI098auuGHbqogWTa5e0Oy5T4cz1pm3m6kXlQ46TNILmIbIJ
Nr52u/6cZbHUsLcCl80hUycfgu28h76bluEHppbZTbMzpKPgJ6/mhtCRbN/TXnA1hv1Sn7hiyHNh
UTxZKS52j8Jho7VIsKLxHfvwjq9Ff1B7MF+xLTySkpROH22WWo8JspLeRB6kRz/95QV2/kLEMt0O
UZHoW7575bvJ/MhmFJrCVqPFvrJdcu1V/d1zWb2P6cbdcnJhxzEsix+TxYiYCo0ETELlEkq1umab
hVXP580fnY1lJt4DhMlloqULpwerY0b3iSaXcbLdqvkAy8sPmHQ7Rk2iitG3DWHcHhir1+ovT/Xu
RxvU/cNIlcM5In5lPyrMI3k3uRranJm65Vc1tPpn5OTAKVuCXsapbZe43sSKZLpjx8N/AqhF2M0R
uX+qKRXGq4gFA26RMZdgKO+Sh5nJ5HO/aaqEVoqt+MUs0uLBTck8iwE++opvroVg0ZaaclmAEcbv
LgjF476SBhu5aeA9/BZVSL4LNBFvMCfufotB90dKTfVl8Br/JIykfsiqCl+ihUoSbwQzby85nYs9
7mTLynRk7k0vorbSUOtYMROZv6UWqfB16LW8bCb+cpjIZQSKQm3MLy4p/fDQpEWb7mqIxZ8KIrK7
VaMzfTL6HP3U7cjMbNv29IzYeFUxms4UZ/cWfuSZbzzdEZvfXq5VQRV4Vfhteacy9uk4mMaAo+nk
gyViAnzDkMHMDytFhL0dptVHmLHqgtVUDjtG3xOLTg+NcY3g9c7aGdseydSUn9mES+RGUfTpIFVv
ezxK+N+uEZ1lpSzBYKzIAPyAOeN6Ny9TxGb1pgOpfiK4KFbeKvTpJBa9cWWhP8ZMllyati6fq5Ci
JD5zJW6hgfQJRfAE8wVQgbO1XVnd89SfNk3jQ6jjsFPVK9OM5Etk5ctzB5fMbe2QcHsRMhHRRBya
NhPKa7FmGEdhzaa8agI4ZHdQyQQ+Ma0CorEVWMo4bSvuill2h7PauCt/gDvNChmBWKQwpFbdWB2d
Wto+L3LW4TMyZUZ2k3/YbTLFJnuM4Eo2oz+6P0y6+PFTRhTjXrkxk4A8YIJvzdlS03E3p2jX8ma+
LwkWnWKmwciBFDo4EDQx4GtBYsdL4++MKBv1faE1bXRhNf4DUpfhE8cb7CePt86m9mT3GjOR/eRM
dnAPHoJzWyxU+5DbWvQ7M6R6wZEEzhkn+94DqsZo+VPvhcld2s8ehzxcrzvhqOxnIUfnUbFjx5vI
qbBykYO8reiF8c0TL93xfvZ29hSkv/yJcQWOQuIlHMPK2tG+9h5NgBLURlIIjGHsJGsIF8zJD5MO
T7FX+e8ZGsV9YTbGFxNE6ZM5xU1ytltdnMt+8n8DCk7qCz3gKqLeKIpvFCr9Og/jdCDy05/9Gjjr
xvVjM8V9JWK38+KG5fOk5Cl0UKrwDpNKjRcPn77f5pAM9qYW+lzQI1j7UwLhU4mapMeEv7pmiTQ/
mRnrmms376e3OYj0ls0hIgr+5CufnYRk3AHUq5ktYSl+Y8ik2Q6lTM4w68yjVXQ/RlMT4pFVspkZ
AuULsdVHVEH05tVEizZ2gmNC7Zt3l3SZT/f1VtDVQpufSPiZPLxWjBO92hlcWbexUSQ1LDa7DX9X
vntoPac5jjIifBfofOfCdtwHlHUJ9kzRr8io2zuA9jz/Jspqq2bkdkg7fU+KLN4PHBHcjT32cIJJ
MdyPy1ikSut2Z01GebBaqj5K+t1PNjHrB0CGUcAeA0ejfPSrZ5d3384LhvYw5KH84DjTrisSBEnJ
o7nt+EKn2Y94g1PS84noULOmRV6HcOxH2bWXzmZJYwEhbIaECdDI00eLZjk0QdryW6B5+jtTJeHe
dMiDI5PPwUeqbFhXpfL0Cf6CAad1as6NoufhVhk4P2rsn3Ogvufa4GxF53Z5nXIbq+OSIvrUNKfJ
sGe0Hyl3fRxzq00mx7wJE0EIGNbQWpUsttNPsHcJKewHXZhTsFbjiEdC8OdiYoQcJwMu7SYQjXkH
MUmuKaZ7F6eKnvmxf/CYsOjH7hXZDq3bx0HAMZ5RdzN6CNYQrvh2Llvxkh1oNafxTWzoMlunbB2+
Vs4Yv5kS9CW3T+Zmw1K9eKYeP5M6G++92WYH2fR0ejPNxAk9e3CPVSRCZ2+OLTUHgjnzO37zXVa3
zV1WLF2cdkHOOg0nwA7bwcydDp16GbTKhPiBOtd/kXO/KeJcnds8LTaKZPbMI8aRX3YYmSiY44iU
PVY7iAnBDQe9+dxXYXsLiqB7KmL+3U6gxEZyVd6pXNL3dBvqJMVc2LcVnfJn7XM2n9qMVmGXG5oZ
lkCctGUzbQSndYU43n4xSyZ3eeiPjJFHw1MkBUDXQJs7QiS83XBQd44BJDMARUuevJYSIm/TA27l
NMJgJ4taWziddDurziq2iugaBbqsK+mA2z4V6sFS8ZqqOY1obTASrQsOT5vY6PrfPvOMPo3fEcXZ
AoPKzUTb8VrzNvlubIOyfZYX4yGdk/JjlA3yREfGNcJfSmt5X6S1+RolfcXxOyvuq9SxP+zY8O7s
NLe+23SBmWZuTpal5vtw7Ljd7DxQBQy3z2PymhHXEHTTILA81TUJ6MMoVbCtJTM42yBX84+e1Bll
VcWCKcFc7gujU94DYLa9wyKQfEphWNs+Y0CUkvwILNtxaWezoKyNJ6tdRieG3l3zfqmfGO3Snzb9
eOYprOJgi+SjSav47LStLrf54tCYAzoL97rc2nhRJZ6VP+kDhqdj38gRCvfaKRvWRezWnv09qBbH
2Dm4OPTZh6IMXlkxJu5Q89Z0Vm2UL0dGxtSGmqlvwIarjO2DeYWPPBMmIv72uzbH7jaglPdmjuyQ
ruLJiUgLaz/9kZRJc0LBKekAs1+WIGmN+cnwwTE/D5Gen0pt9UAORsqaJONHVhHmeELxHgxmQVEl
9trx3/ESi3CruL7hY5gkuiZyzLAjLDHfcOlsPgCAzoz5DomgaECRkKuZ8YyxElwMbyZaG6YEXbuq
/+AjlzS3PPI996y6Ir0D8O7+zOlgv6HM4L7zPuIkXYt9yUrJrQhryE6NBB6RhNK5gDeydlYY59+p
URvRQVHcX3DVTUbLbXZGtJ2wADZsNQgGGHE22AivHsBXNAl8hzSDysm1kFzqNslVi5s61pq0Zlsy
pMiu2CDWTlvhP2Pgi2KF4crHvWWihR4qIz3OoeUmloIyAGm47/3e3DSZ0P7aberuhxOp5ajcVgT9
kjbPnzPkQEFpJO/uwAL/B3dntiS3kWbpVymbe8gcDsABXEybdQRizT2ZzIU3sEySiX3f8fT9IaiS
kikWaWprK5uem1okUbEBcPfzn/OdlL+aERpcU0yMx4t1OlHHysrMZ2zrJBw7am/XyTAxDtBYoibb
0sqVCaLkOLileklgBzyoTHceZxJeIwO2ULsuHHxP64bcGK3gRjNtnallCxulXX1gJ55u+7lMaNeb
OjoDM2xaIEnjlummFTrBJ7Oayh2wQ3VJ3IRAoMyZImxbUhDkFhzrs0L/0DyMg8kZjjxMjhF7nse4
YRSz0xWIUpy+xnVmCWOfZm1BU1drpLe5RiQAg0NVr8Oas8daUp+V8pOo/FyPmeCsmirjJsnImpSb
PisArfgyY+6yGqjwKA+xW/vdpsv0eJf0NmMJWODjU684YPFJnOa+m2w6MFU34toebEp+1jJpsX7b
7oSARiDJf+4w7945xBj6jdk6in1CEhhnqukxH5HCj59l083oFtGo6dsp0AW29Z4w8NGlMu4hzjsO
XVyeyvHoKLQtkg5iDB4jRtW7LJfqiCBiR5QMGPkOtTb9QtG2xIs0ubjtMI+TnW7sWl1F2Nnv4X7H
D9Ug+mTV0T/Dx2R+Ayhbs/EpRVifiAZzqTA99XFI4m2iUL3rA/cOsw2n+VHy+JmUHr/400D7eydl
Jc95TkTYGIVOYqpJrEw/OCNphF0AcNygXg3noRfFo/25trr6Y6okpNoEW1i2SiSS3ipq7WkdhArt
kbOAlmwS/H+4NgrdCJ4x19lnoyQ/w20XO5fE+Bnb2Tw/eWDTepmCjNUMOOsMCoVn5cze1mmuI9iA
yKgEmPee8u4sHQdE2mR8UnROezN9jU/cSbU8rwWDpaAMmu68FLIHcq3ZhutpRhN8gYUeh9tRdjGb
PT+nYpxliefKmOOe+xgbvXmc6cdj5Na1lVoPLJPUaCp32JmKybEmG6KLfSmmc0odmSVxitTosq7H
KtjMKabNjWSGfyPhE5Q7h51RzZHJbbxKcM8TPDb9i2HEA7QmPDNvQNTjdx+SDPmLsEGLIZlnZ0/h
54gDdBDd+TRYebVeEA0zXr0SHS2qBWISdlyeA3PoOpfNDHIDO32ScQRTU44pJ2Y4TlFMrXYFkG62
p0OAWETKLCL9NDb+RcMgFlx4pr/S9+Tc1o6tbzFOKLUyNZixniCPj106TMGXaSlBpk3DYzOAYF5p
NwFHDeceKvwEGaYnyu3gimFx0Xtty7HejF5N2P+fsBowXI8jGeE6cCjPY+NKUmWwo9skdaY9wL+w
3y6Omfsy6sqzeeqD+zjDtbrKnTK+Tqv0sdQMf1NEtp0cYhYRemdhmARVy/iZIor8mYGO9qWIyuku
xmqjeTiLBFtTHrvT2VJIUROwSbNLzpCjs4dzg5ad9O5nNnP1i4id7ONMQUC0xqzUbDishUe8HK4D
V275RAz/jZWhlOShmppfda0atqgWxnZEUDhD0jGZyVrddSMmYgVaVhhMce1h3htcuLdtRfAJVAJ3
QIxrgGRgID/UVcMzu8VHfZcQxh3PwqqjSRx9JdjOg92H60xrUKL0slHz1jc7GjQdLt+Y26g30C0J
sceXiA00uM2z3s/nJXhMtYeibjCeCVvHXEUk1w/tFH4IKxrXUBKnZ+FHG0MzwckJnJdONafDZwYy
FSeBSj6yJxst1rY4VB9gpiBaFInD7LiGCF1jkLtjLxoslZEhkQnBKEpj21ZVD4oKhFdqQtiLGjU6
AMWTIvsqG5yXa8eIUy9XI2I/faG4KeVIVWXGg54dZa2y3b939Pp28vof/4viwFIZOqPUf43nvO6+
dJ/Dr3U9vTVO/v7H/pjNLhw0E4eAhR0QK88fs1nAnHgfbcsCsSm//Z3fh7M6bktTksllDqFczNa4
Lf8ZAha/LZNcjjQG+3auu79lnFwAdH8ib5nMKpLJpiK84y57P4ey8LeAOqtkDteVXUXvoPXkw2hp
HAJ3IF9ZEwbUxOQEbHDt8zI3Pr/5pn4Ax3tPBH3/0u/YsjLW7SQRDdUwFOgQSWRDF8bzvkz8l6Fi
D/XzV5PLJ3n7SW0pbN0giW0JqpKkfBd2jv0+JrAMMoV0gImvwieqhgPRGx2ZbKcGGAe9ITt+6WqT
pp2zce3eXiOxW16vukfsHJzq5uUJmlwz0biguGVtdKmF+O0/VJUv+araaBUV8ZluAJf4+bvXf/D2
XVd3lsA21woX1DuSoKzZkyimnrTutMXeNgzCCJxEGbX25tKFOFMnRMmcR4h3vHa7OPpg+taVHJcF
HdIkC271mMwokghlT5qZn4eGSSCCRKjNEo6Ac2ipM1yNA/+szAZsWotjJRiAsRYha6QzVYegkuJO
ywVmFD+t90xSPRYVTnE3UyHWMWCa3gpvTSveB9PwwsZmlQzhhl0bybS+XQdRcoOF87ZMpw9m9WVa
7KBM6j6NdDXs7AkTZWtk9kVRu+xl9DI5wMLvDmAZQaM2C43N4cOMEDfMWjd2oP2CO5WIG7as4EBd
XtnAZ38uOaQ9x1lr7wo3pik4bCm3g8C6MtFRbDCVbu2ZehfRAkJ80ST2R5tSQjOdTYUqmE/3aOJO
PXcc6s9MN26uh54IAp5D9nhN4XwyhLTxx0TFlYNJEP7C0hlPNzbaj+9urCGUL8QV+69l14pjr5+R
SBouBzGziRBO02xjIym2lpLzMad3Ay2DOGCfk9LL7fJLFMVfoqBQB4JQREYkSyJsxRutKQkIT+HR
T9InnEfHCmsbqS4aB/lprGaq0an4A2VMOHrI/Nij0626gEy+GbvijoBA/gu+ueQB9N3tRHDeXJ4e
JpckaPrFWPL2wUGJjl6xDaDlK01zJuKQwEggVS1jZVbbknZhy7iLIjmez2GnfQp9a2llX3bHflQV
tF0bH+HtrOelZnvoOufrmDvTByMR6a6B/LpWbiNumREmD8A7OgphffF6uqf+p+kV/9/FAqQtTR6O
/3pRu32On5s2fM6/W9O+/anfwwDOYt63cQ4ZBguRzY//zW6k3N9MWBcA74UOR8dZoKC/L2mG+E3H
GsR1S9+8YLnjb/2+pEnjNy4mcBiWYZAYEZb1d/xGzoLV+O7aZHqPzRxrlUtawab25vtrsxDlqJE0
bLYiI/m30/xlTy5Ti/15A2vswAXKrp1a5Ebt3NNuvuJ+zD26S9jM1u5S/iUhF0sqhLaDMRrnCs2N
1NTphGAPNd3E8+nkEHeZ7MjQjQtbiJNFUtlDu5sAHg3Qg0sGxGhTw7pbDiZdPdQ11pFcHUKXG3rT
dRnJKjXFydMcjePg6QuBYoPTAOwPQ2SmXCL3g/PR6dWLQXx8E9iclEZy9Ndzos8XFZ1kmwzIxNol
nLkpqy657SWiSy+F9jydzlwi9dVLlrT5I0mJoF6zl+ZslllEwLeByZGtFzblbYD8cVedjnPlgGK7
s/ts/NAsR73odOoTywFwmkrfK+dpfCLPyvlwyEXJNKepBfrE6QR5Ok3inQmFl55Omep04uw5Dfur
vmbjDbrfKK+yWic6Numd+1SeTq04KHjqg+TgNDuw66B/xgSEi2plPRGLZF/dDqFOI7CbL9NNYwEw
n87Jmr2cmR2oeCwTBOT1A+7yeo0C2D10XUvGXbZtQ347SRd9eKyzbRXTmGq0HbXepCqu0+WkHur6
+NHtMDQs53yO8gNQjGNJkLBAihpGPMVDec8qgHR0UgAoJ7Th5uELp9t87qz78CQXMOUKvGp2o0Xa
NotbXQVxxbi0Ge/7oU2v87IKb5YcXb31UZH2+EKanbHoE/E3rQJJkpap6CRiOIue0ZG6rikjGnRt
DdwDyYMK4ok6GxMlhHkVoggsQgQSnUZeqixqUOLRxGlxleELvMMehVrpO2oqV7pJFG0NCI50bHvS
YdyTJHNSZ7p0GJ/YIznnyHJIzNFJyelPqg6Of6jaDV4ZdxnI5sYOB/gi/QyxUW7gMS26aaH1WITc
7rzJTHnTNYNDy1lDf3MS8qpa3tCk6PbZfM1gHqkJlZdwu9sY+2hRokAYtWck9SAzpJziyIzoTv5E
vic5s09Sll7U6nPZCtvTT1JX3RntMfKhKUKJQhytrRwGSl6oJ5fmOYADeqRzBOs05rZlv3TcISmi
PDNpA2o1tvG2qPECiQItYj3MGlpcMbTBrTlL0pgQqd1HMUTVQyxS50X1jom5tocIKhaBL16kPuhm
D10fYekqjAEqfKubz9hglLii16lQG+AV6IbuIiFWxH0mL8Gpe6x7NFFY5ZgUt8YiPVpF2LwAb3Xw
w5y0yfqkU8pk7ox9Mkn0y4ARCPlb0SNOUQFth2fkSNA7ObujfYYcEnqCtWBX17jZF330pJViihuY
k4ym7mGGRE11HXg8gFScZcsn2olTqXBRX+lQd58LU4ueqWFBmZWLSDstcm28CLc5d/i8smnU+8wc
oriEAmTtRiHm+9DtoFhBK6RvcRGEnZM2PJ504mCRjLU5B2WWm4tZqXDPHSyAH7millgwliZ6rVCe
WUxodemmFJSsgzJNVbhpwxUL5A4rd86myu4/x7U57shZVJgOkLjpFETt7mJIHWfZSQUPKCb8wMPG
yu4S1/GfnVhzLuVJPFd2VR+boEwemXQhrhNlRWgXaaYRkEZ9R7MQr8B9keSdGMDRqqIdE4Qewr0Q
svjSGhVifnIS9jHcJM69eRL84Tcg/nc9Gf6deRoKDCYBVgYPy7CgXuYG9jJBcE7DBH2ZK2TLhME8
DRua09yBAURA397eWGYSrSy753SZU3TLxEIuswtrtLQPOOQZaCAp2P0iNzLowL8oN90098+WOxpq
Hy0zETfRGI/0SD0HPW+ZmSzTkza1O7hDxeBsdOAM+b72WzOCEpCNIO6pDLivUEPEqguddEtnrHFI
RsmwJjHnkqqAQehfYP7ZV3gfjE+a1mfXknQL8R8mfCkjowjsDa2ivPnAUjhMhvxTvEyL8lSNwD2X
GRIqdQgNgkTDBiSDS6wBRoN9FyyzJ+RKmTEfx2pqfRtONTiDab8KujXgHOAg0egzygoKO8OOtAy4
rJ7irI01+9fdaQBmRz7DMKe1eWrBTlAPzTItG4zE3+PjEVuZuUs5LFM14mnjmaTEcB90MG6x+sBB
1p1+Uy4TOT9pu6dmaoaFDr24Y0zsbulquQ81IkV2fm4BBr9CubztsDh4hqoeioBTMnNtjcMrCeki
snzqw2q6EJlHfqHPD4ofMuJaWiVcgr6cPHOKmD9yVvQr+yuumZc2MLWdHqWFt8QNwaQ2kQ5rkPDI
A012jMIKMmA4yqwG75oszME4kI9MoP2YzKkPg4lRdgWSESeXoRFkYRA5GRXAnLSbt2PtIBiPofOl
KCqKLKXe6vch4ymYj3iurP2AWjhezlw+X3ylMPUMPVsdM2QogE7ZFOdmG6OGuSLeM7DVNrTN4R8N
MRkQ2AXuzQ3RkNCI4kOBHWkTEtG5TSxGfFbvp57fu3glnEi+Uv7bPtF51HjjTHJew0O25kBqRt4A
5LZbmZavLm1VKIIOQ65vkjwlxC/qPFHnU1xo2kcTsw/U3KGPirWTdFXuySrq58uK0ancZFwwgZfR
54RuSiEhE8E6GA9lpBmXFVJehFZnBMWm0DvjEahSEh/c2Wi+OsvZHdj3wLXjlOkhyxqYtDwRepu5
nnCu5pkxDYbA2r0Y5tI9B6lDOTrohfAlKxvjaNW1lqz8PmxfStli32zdYvrEKbGNPSxaRH46zZlh
QweE8JjYgEZGNOjYhwaUpe+yyeLgmfAtX+gEM5kQJ4YNuXRUxyRjSk2zuzNQcyubezZRWMSAJMjP
TTXVj13Rhsc0s2Cm5YB5ID6j118GnJ9ZSdyasYitW75OS58eX3VUFFGnqawWH4wWzp6etLU674Mo
OwDaB4ra8bBjDAiKk62LXTF+JqLD0z3N5gt8Y5Fcw3d2oKOm6mYgLATs17DttUWFyMHBO/YYD1UX
73M9rG56BsMFmU5ZTxtwbGwKgGtO2Ph1P7gY4wZXCWVK7F+UW93IMlO3fgN9duVL1daroJ+Nkmel
5DrpFwhSAtFHMJ2LvdoZfK/HTrtwWa36xgqs4azzFxWZmA9NqjzGrftkYFfMIyNkRgZLJoGIHJpO
9hBYcfEVLQXRPGmBZSFwLLujGDoqRoGuTZ/ZKMB26McpOHeYRotVUbWUonDiCLINcSlCfzhn8HXw
gJ4wEcZhe5/4JgAAnzX6qoNvc5Z3fb/hFqi/ZqSGb4ekDxtPL930JpxH7aOshHsv+9Hayd51v3ZG
Lz5OmjOcOZalPYFrZWziV/F8MxRx98Tzl+2CWbXgBDKnodk1N6ElDJlwDgJL1AOoVCTijjXmQZkC
Y6O5DNt5CIg4oYIgwn5iQlNu1oHRlik7ZZGYB8zh7GIaeHD13mH3f1R2zwG96EPjEDVSpdsK9iz8
55DVjUFmWNExY4RBdJxbiAZWZ6IHdeYyAoiAQWkeYCf3tc/77HNDZzCkmaEjQUnDT3BvxhO13yoc
xlqHzY9PdM3VS8AuYobCsB4TQby15oEuipWeF672TBLO3k/MLp3Cw0JtkTag3gYI2Nxz3PFMoQrn
EduA7txaDHwp5eJKKyE2jLpFd4vfPVsMWZspUPEWvAqOvDG1NwFuS2030vBzMLifuDBnzcnOGaOV
I8FeszeWNCQbVvx22Lkd606w3szHxJ/8m8RlT3CddiS3AlYEN5DnxDSwmIcZme5N5gTdRgoSc8ba
oF2Tk0qaU30SYXmHCXdBLTrbIzyyHV4jvczMyzY2cv9oEfoKr5zB7tSVIk427OMmapfkan7TUtir
nTtEAsu7KaUMYedWk2Vsaa4Oo4OlxxEWgaCss71V+9O0xV83NZ+yeRLPbhQnalVOFA5R1xvATrZH
aOHnQdoaPoGFaACeTZSPcbNkuBbh+piIyXnBJMUnQ/XA+uqW3oN15ZfLWMSaXADaRTXsE+otj+aU
6TggCF7uAQUnuxZAG7FpX40fwhxfyWGK8Plvw5rxCY1KXRBfFKY92GtaIgrMo4lsACqFvea1waB2
OIVd0tt1MXbbMoYpt4b2bPvHvOqmSjLtlGJasTLgiNJoV2iexoTtdlnBzbtIF5WcCV5ozdlKDa1T
HnOB8X7vU/oEQsrK7PCeRUo1ByxyOdscMRAmHIgPM8uJmj77yFTPjF907uHiJujaicFKGcExqXyG
tKJRPVAs132K2dwx6Z/a0vYaPg7OgzqaoM8Ejt2fhRCAaRTwEXDpBbcJIMq6UrRm1NSJZsmTG4Pj
XVU6fpkwKVkTTb/8pBkjSc5UzNdxE9zGfSXoWIuShovHBfS3mo2eMfqoKBmIfEb2siW/yRWl+a9z
xF7voNsxQ34kBqAlbRpOn6egNoxDM+gBG1bRN9jE8Sh1OsNW8ESU6khryg69UWnmajDT2y4A2OdB
UEvOAiot6dBq0Oc835ksBZEv6F8a2+mWzIojYNSrOsM/wlE43UdNTV9I00/BfQN8jd+D7meL6olA
v5qUkcoLV+RU4fGnoUuZeU/HLfUhbr4qMoApa2pqUGdJUX+pePRHm7GSzcdGJxrNqKysnzPQ/Qem
dRpQEtunpCNtujXZax2mPc0wqQc5z7iitAQbJib2XQRn6xAzbp8J0/B1qEHVZ1yX7R3fvLs33YAE
ZwttrdgQOT+UIh+fMScG99MUtQ9TFbTxDoeDPPaGbh+gBk/6unP09CnAxwCZnOiOgDOvw2wbeqsk
Yo+BMr10u47iGTIsmbvV+GD3BDbdM0fNRBhGbM4DQjp5eq/ksI8Z3lcVsM4oJCmPubb3wMLTcmZW
rvo2Mfi3qZv/D6Yl0Qatn6YlP0RU+WRvVcvf/8jvkzjnN1C31ONZ3zglf8qWjkNKUmAL1HVbd5a/
/rtoKZ3fCB2RpELP0q1lfvenaGkTkgTmjNx5kjOZ6/0NGK/+/SBOuUwCeVdsI+BjES223rUlsbaK
fIATvjf7kFRwPZDQK6ILEwbH0R4HfGEVaQpzaU2gr2H8GA1JcIQXjswkSInp6CiIlr3zOQ4b3fN5
SN3iLRwPBSTJC9AX4S/macu47M9x2l/f7zJue9PnB6RBtZEz6Xs3Sof9ZOIfL1n/Vir3PVGiokki
4hduJvxvs+h/2awKcuYXL/1ucFgqMytZWaZ9FDTRakbJgbVfOVuya8Um7rTCm91UW3V6vfhlrKtx
scyg4Gaea8M2i0ur3k9zbhEFpGaQGb29ssmiUqzItKnk21PGeJWyTl74LUmiiCLZVVLnYg8o8rYE
ekLoDmVLoFHh12AyU6ZO/0gJzgQAvxqq6yLM6C1qs+5Db4jgPOERukrSMdqkpcyOmSuKC6tzowsK
lYensBvahfdZnEc6R/oJbNa2LtuNyD9PfSgOTFfgvcbQvd2Qo92gi4/mQHm0jTl4lxqpQ64miLYx
DuW4dpsWMVB2j2VkiV0IRmvLXGaps6uogwqtgiRL/JE27ytYejecHmvWCm9ItUezyd2zFvvrcYrd
h2aW2g7/3lmNod+bQiDP8RxcZBlnlxJWrudMMVJjF+2MAQ9L79jPlMTPXo8qviIZcSSyqgFjnq5G
EVrbBt/wphNAYeiwbo9lPxKUA3Ts+bAQCn/G81GLfR0UJAvHI+0WvhfUpYcRaCXx/xRxhf7pI4MZ
otoyvqXQO8hoH5xlvwPGCQd2KClZGSeMaXQNbfhgIZscAsRWrcSnIagpmAkGGosQlKY9086boXON
I3cNvv3uzJ9cpruO7LdlON6NvUbaJhvZhmUmVUOqQykfyr0INWJi47ChzM1dEbPjzF+AlnQ70ha9
YaTnbrjMZ6mvbhzlH5xciV1LnuUA/c9ZOxK0SlUAqCUTbCHZA7XoR2O+08YKfkCw0Yq+X/dhdpiN
GpAJp11suFzNo4XKNJR0ZXaOC6EEqexsCEKxHimj34k+eyGJedcm7Nmwi+yqyoF+Q1+9YMFRCOlw
WQggsHtZURhOWqHF4km19jq34YlQkEZeo6OOwIWY2LsWKVrHXso3d8q6z/OGfnNQv6gPkDg4hcVU
npAY8tOYUWzF+Nl24h35rls9F+JMI/XKysssgxojOD9la59NRZl8IDmkeZQD7sbB/ABugROvM2Lb
IwkCrzW+VA5YXjhM0iMy165bwlUeNvWdNoDNoBVnYyrQErA1VxYN5YGVHMhJ3UYOIx2YwHftGJ1Z
Jf1TbXjZs8miSxJHvd1vxuZ+Tqsru8K3a4vuNkT64ACWRFsS8ZtcdM9JhLKtgvqCtJk3ZfkdQI6N
HN1tFWafQRtsWrZaXmqjsLJDCUF5mpfupAiwQy6K4oqwgkuyWL8a7eAY+7m8yFSlSapPJnsLCTkv
VoVRNC8MregJZgb9YcTq2TC+vtXYfmz9aBDc2/3I1CYYoQBi3+H0b7jPYUreV/CxDoAV8OWnZLgA
SOGa8qsSIXtq8d2HbM7GykDVK0nQykSSaO+awKuzxLpxfOnTlAlrJBZVt0+1IFwgSTVyAzA3prOL
Q2k4m7A839Wuw8MCbMnKCDSxY9jS7FNO/Rw1c1uck2QTB7fq6tvKJw4/dDQpRgWRUkYA/INomWsO
7XjG01owLvOvymk61hJytKWSuymPW85R+N9VYmIBBfFalzYJZNyb9GPil9BkWV9KykoxvXMQabGs
EsrChwDLcabPtYkOgU3gLtZqQZtaFG1s0fs87BrrEUzm0fZnnncxZ+TZQYMYqJhihDnv68Gm+EQv
Xu0g3yN4tTtLGXKt9bAWGzd6MrTa3JiRf0NrVU6Pgq9tx4bRFmf2fjNosX5AUsov59q6fTNTvf62
VP4j7/C7R3nb/N//swzI3y2g2DmkBShcx3djvxtS6vD4dC1ZTlBucVNEJHKymGM8Ma+zn7+Qvvyb
fvZK77YWSTvmoSBnsu+DDiiM737V54b8CtI2GQj1oiTp5dGCu+IuT96Sykrv52/B+H4ie9otOJic
TMPC2SLc983aTpHTgdHM+p6nFZtpYUpmWV2DrXFpmNNqW/OiSk8+YARu9wm+0UuqzMdViAx3JmK/
OnMHZKGiKR4V6JgbbCWul3C8pJ8elNSlRZP7PiFn6cV9GuxRGvO9HMdmU1OU5DVE/+tKOHsslq8A
ZjTCP0t4rc5ueB/aBoPz888/749+27cf951Zh9Zg+FOIoHvNavxbcGFotQzaPBza8/rnL/W9i+r3
b9am9F3wH3STvUNr6APHyhbdg7Zb+7VF8IeWb34ycHF5tVU+/vzF3vWZ/vXVFtDHm12fFvlZPxax
3NOuR8+qZTwYZPwP8RB80aMaLJBK2mvE4RA2kJz3rYYTWyYloHgVtBduDOOLXxISdrtLVTVu46Zr
j52/gGxGbEJRxE+YWIOAZxlbnpyK/FrEYU7qvaasYAQaLgvAuo2hnY/LpqRaticm+5Sff87lY7y7
Y9jxA/OHYuvwvS6X85uPSdJNCY11ZK8qsk2J8sU6M0iiZ67SrqNeI3PZVWnyi5/yRzfqdy/7bk8t
WwBvogCwo5lgzGGSfbETOgeHmvYffMnaMZ/GSx8D/3W67HKwGiS/uFF/+BZ4KAGX0R3XMd831aRC
H5syi+jyjAg1NyyJdI9d4Onw14SBtVVaKjghgv2moT7x1K+2P//mf3A5Awj48/Xf3TndAB5FzwNz
36bdJ6OJxss2941jVikubC34hYtpOSm8/52VIwCbCNA4/Pf3v3M4RFrdFiRHLQOwrT7Af4saso0/
/0w/eBrwff75Ku8+U2MIo0+twtxn7aivBj4gnScmbYGq/MXP96NXWj6KkEjFlvzLw6B0u3yeldjP
/oA7w9EfUuUeWGd+8Yl+eJm8faF3zwHOH12LBdBkNSntr9HQXsXSNncuagY5k874kAQtg+Fg2R6T
q+EoULblxc+/1h8cmU0hqK90HIGviLP797+eH46AESLf2OO9KffzUPd3pTT1AzR/Y1+C+ylKN/GC
PrABik1s34IQIH9FMBPKwbNGt8emxMNYLbuL/CwJsgdFi8u1Hsn7uMYg9PO3a/z1YjMF9AvXQZTg
HVvvLgMNtDVQlJq3FnRn+UTQQQ9FtINLJ9ZKmy9GV42bshP7rglJCA0RtewgELfRmLB9t3IYjSDR
vLrPD2xT/U1MQ0lWcqZpNKhBHCJeS/jcB1EtrEDDPNPtviK0BHWFcSm9bhp1f+VcsLcqfej76VdJ
ncVqGqpsLVRvnlON8G2L82/ToP632sZpWgL6xtP7X3vs/jP/8pw95/94zr/84xKe4Mtz/Y9Dk/J/
m7f61R//pm8Klmv85lqc2xRIL8OmI4pr7JvxzgWny2wBvJaLG9NC0P5Dw9KN3/grC83LNEHkcsz4
Q8PCZQ6OHoM5c0Bqyfj3/i0N6/tlczHa6TYjDjzzwuVxx7/tu2WzaTASFNFY78Ihw/VhZS956SQb
hoTNKvTrcsu1/spzoVzPbvIC744dJ3jPddWTkYoKRp9O3ng+cVAat6P7vuCmffMlX397tL/ddL97
cJ3eogOt2LWwrOI3xDz/3VtElsC5mMCTdzIAqtpsyg1PBYOjp3veVxUkzvFSNZ3XBLJZJQoyxH/r
DZiGK/mqbHcRNN9uLQiwlw7CO0D7heBqzDQAlHpKECbyN+GC3uvgRGCLYltEeGWFIN384i18v0h8
+woUDyEdL4oSzsJkfvsOGhNeQ5ql1a7uAmhjun3XheAlql9ZhN/pdP98IcXLmDgx6Qr4/oXUTPJ6
mopqlxc9BKSgdbd2W9JYj1RO2C5aT+Rr2TKiXPbDAHfAF/m5NsobC13znCZijVSN4T83sTVs6lGK
WyPhFL7cFzvXGmtE+mLa1RlAZ63ktJAkps1psyyJY/btht0+GZ9OXjNpSrn++CKnSj3RRHUQdeN4
ZlRBkcxB23L2nHAdz+HF5H8ks87Vms0weRxri8txvByb5FU35mRDmctLrgFoSWsf2qP7FbXmFuDU
w88vku+11eWL45ZgoCJ0tGA29csv+Gb7ac851WBRRc+m4RPFHqenmNoux8TB5ZN/x5yB/mRXvfuL
zZdcrv4/90PLC0P2xuyH+1qeHiPfv3BWunbZoAPsnCZkmIUceAAJ1u6lZAoYkJH2Invu10UtrbNs
4obOm7hc207OD0p96iYNgy2MS5deR+4pQ5eJR18HrphqmHZpTORikefxfWrMhn/+nb03pC/vXaHd
uxjTFeV44t1lLTrXhIwRpnSoShqlNJArAZO2tdGD5R26YpNQybyjnTK7LEe6rgw6L5HQQUE3dHMp
RpbLA8gct4V1rmwFQaxBaXE1PjSYGoQLPC5r5LrPP3/ff/2tTSUNDNPYshkCuKwab3/rFoysqHve
9qDVRLhMHgoOnrxvX3StSndddS00ajOVf2vze/qxcWIDZRfKwnN9gja+uco6mfmIoHW68/uGXqzO
RTbEjPqLLen3u55vr2IsYw3mqS7j73cyR56WeOSqNN2Fk53v7LpKjgCtX37xJZrfaxzfXgZOmWTY
q3Nqke9+fXjrNkiaPkXfTl+ZHdcUiDTMGjEbk301ucldbWBt6YF65/rMUc5KX/XAnG9KwE9W3oWs
O5O71s3eXWecdEB7B2KfNlzkSTxITIlaRPLfudMUrFZa8i5hCNWHiAGeB1kgXvUAoLc0cgINR1nZ
OIUFkoLnm6WPFP6BhyJoyT/WhJZ+zmApX8UMRrk9+PNm5RAZn8nCyJn/BWoDDCA4SyYqkUstmEZn
uluaW4kHCM8VJrASYcxv45dsjl6s2LjBFeEf/RKehmnEr/Cji33ThS5tffleG6l66pRwt2kRvdaB
76y6gmcuEjD5rh60mqNzfedBI9d9mWJ15Ro0k+AjAydadVP3LuTiWGttwvs2bvLI1fZD2MuNIdtH
PeduH5anN+zJ5qEcrQYLHu3QI2S5dWLyYqkbm886xRsIfTZK6hC9NNgGPRztgGZVWq0jaX3Kaxmv
A+z0tz0nYLCZMwvxrKjGSeNXPeRD9wF2syzj/QZte1vL5KtKWD0HdPdgoLQHhy7l6l3ZbBIWEFh+
M42DtfZoi7LxTB+wDaQdhxSR4a87YIBbnmX5DpPLCyMoSuYqFcEpZgVOJ3TKzMzOrbT8EOvuXbU4
l5E+Wy/xnXDH5sdgYcGgmRr8NHlT36oIA2VWdldsMHa+nb/UomG00uFJ0ey02bgjv2Y28bCsq5ga
qVRtqyp9zd1aMpnqz6q2B+OcvOIxdHfoww1V2XzQZsiIVxsXvsEVSP+a4xFyu0z8Ai58xRqQGGbi
yY5YlF9ynWPs1eh8ZX+V6LzU1CevWgD6XvHLwih/tSD0wIWsrHuqg0h4BQ7DGpOm4v9i7kyW40a2
NP0qbb1HGuZh0ZsYgGAwOEkkk9IGJkoiBsfgcMx4+voQWbdKJNVi301bLe61zJTIQDjcj5/hH6Y4
eUHQhE2QrsiXbPR3WlqfJlS6cZzipi6W8hm9vuKmDwyqlUHzP9PBDtFueXYtvT6ks446DCLBeofH
niI9Pbl5T261vhgyg+vWRTcfzgL/tu7deWTb6DJATgCtbqRpsmc/Jmd0EuvO8osg6ubi2ddxIxbs
cIM+EoI07CW18NxxhWMpGox7owQ7Yvr3MiCRSQEs/XMESnaYYVh3bafanTOQfDJ/Wa4qSCH0V9ds
Q+P31aW0Nj6eeFvL4PW3OscF20gmTuaQnkadxiBGoyiD+mxaYFTP5wfnccliqLLROuFOoyyFXeb0
7d/gy4MQyhfxWjI8KLxUXtVB0CB/zrvzwJrtl8a7MNyJZyrp0mdIP27zaTjVY81QEiPWcOpiRNYJ
YFq7BizP4Wf4Hmxd8c8LLnXnziyapxq46sad8pfG5anBij2fw0XviZdu4hrzByJBlSd8QOuicl1w
g0iIJhtldC1CeCwixQD50EI+RZbsbQaalXSr81OB+tAO/oWPKLkh9u4inxyzPp1vp0BnF+t4kYaO
YcdHVEZfQKvFt0juhSVJ0jZzF3uv2kqGzoT27hz8qFB/2FjMpXcVSdeGNv4D4GdCnsbvHYi1+HOw
IGDhlFc8d+RXazibKxYiLdzrc1DqHcILEidP+cSzZShemDWd/aZAnM5byQ4GR8X18+dZy3Ko0QoZ
h4GXe64m0jVhcTNL26/XDtJa1+dvCFLyZT0SiBPcrVcBcsg4/vFg53cgzeA6K7WRaQxiY2I8+Unu
rOYIbBu0+kApOiVAUvWE+J5xclT+ImRS0G1mqyidzXiOdL5NMEGr476eHSKqu2g4CgTjTYvOB3qS
nN+ck8mQYeGnkIM7FKKNj936dtAwQFZuqZH4qtBoyDmHk1ym4zkSZ9OaiLlJgWYUPqHc8ai2LT40
P3D8eJlVLk/iT+DE+FO/5QX0GTT4rAYODMOJiWugC7SbwLDQbZNb9jC/fr1XLMFDtWvyLFznzlDx
Hpm8ObJiqDlYeA3bdYdNC38zlaTpRBo0SnhVY82mUwGBh/5gu8GTErvIgVdjBSQU69uF74KcDSfc
S4n6VEFVhHMXPZmBquAcf4s1OsZNWiEeY1gbDS2uQ5O33X6944C0WlCE2dVOzwHyFnFyXZ7aBA7O
QB+Dg3M6jK58se9HJa60uJgf9LSBKltyuvH7tOD+iOfzXgGi9oz++Uu1TPexns9cGIqOyMBSr7dN
HBAXgYL7u1h14mryXLFzNVdHXAhMlt0h1OaYGc5rsmpCdNpAZ7oqux4zVpX5B/m544VIbqWHQtZc
eHPXXBMlm8vMTrsLe4QRgWSbu5msFAqDsQSh6AHn13UQ7/IGlYq6HedxgwArM3G5JM+pNyEYaBl2
Fg6GxC/Fz4A8egg2ZFP2Aqz7KVZVhyNiU37XArF8tlD0vQT2Ou0S2X3OMUmLqHOy1XLLeGKWAGqi
nCsyYgvhBIRjd5a16AeEq4BhUiYNNVqhGyGH+kI5qXdr9OXKkJmRox1X6dbVC8NfCziRkic3i7q2
jNQOUXsxjnqQPPdaMe1yD0guLS9ra4K3CgUU2MtFcZxkRbBfy7zak2KXGkxXud7b0IE7ewi0EmNm
p8CxYlUyxe0NITi71LctCicbHOtschRIpGmJog0wP7DApvqZLyRsHaisjdFUBeLD4CfoR150QfNU
BEDWGLYvm8FyUYy10I0TwNAjPO3yLZbAMR8PvQwNyXglBvO7F1R1M8PoQ9U7xwIWS1Ik40/g0umh
bPx4N04xIqcmbCQPYbZk/o6YDVWkwaAi1eB/1D5qMXizAZszM+SqRJXBO9aBCNu1qVPDZeC7M9r8
eZojWTTq+yGxdyTPtxqwH1rSpIk6oAMUtfd+wjtN0isG4ZdZTfy1h/HB0MejcoF++FmJg2eg/ZQu
m89DLZfRNT4tote+OR1RN29Q3OoW+y4RiN7lzGaVZoldhTw4Wml9C9zQ0A5NBl+vnRA199fKZxES
5P1CWMr67MWY6iBMV2FAIybS1FU6P1id3axveNmOBTeQXbnxy4jQ1xY9i+IR3KZ9aS/605l5jjHf
E6LlpFSiUUi5Bjbhrer36Ld1kahJgtOpWfA1JGPSqeEEM17w1ec4bmviZOnccwnBQTecbq+hvBb1
EsbhuaIHo0I4sDimviSRqXTjzsJ4GfBtBnChZN/W6xalYI7scXzGA8+PRDXcpT47Jg4Q/dYqlEgX
roL1OQdfvzPoPkSta1AWcltvAtLs3kifhVM/6QJJ5sHR79oFGV6oaOzQtJ2OhpFiEKR7uJ96yS1y
USc5G18pIJtQH9AYbXVTPfSa+JJzpyVQ0xtzDo6ovFrwa3JxlY88jU9WBT+1I7tew+kC1vFK9Nx4
g9/JcHT8eysTz3IuTyQY0+3iTYos0LqSirxGMwL0mTKXuhGT5c4cocRPJTYw434w0yXsQPED1Vbu
NW686a0OE/PL2dyoIk3eG8K7KGx2mCzYDdAVahIs1hQCG+tsez6yfBVoSi0b78sGR17AmySea/Mq
S8AkoOS7nX3iWtyS54gmna41zTL7jRusQXqVE4ANS+7ddkARRnJMcxlQr8pyZIRVfSgSI4r1vr0w
gvyl0tKXhNteKe4hmIDXicUeOd/o3UQRtqY7zbpXE7bJdWyDOErICSiuceyxZm2v8cB4hHBnVnNd
4IFN1QIJbtp4sGZ2faKe6pKrZxj78SaBpgAmVudlo98fgfeKjzOdyVWFf7oRbic+NVD8tqVu7LVE
h2XnITNdUNEjtseeZHxUnbLBIo2yUV9AwMk4JYhv7gqTPYys5fK1tLz0h8qmYEvXYqAD0gP+wbwW
Wgi7KZgRvCrGlt+iypeVrvRcxkN1Krj1zrufehPB/jw7Uqy+0ITgWxXuJx91XTcw7xC1ptTDHHOX
S+3n2qhy7KU59EkwXDkNb2QW6x2YsD/7Gr49QqprUEjknUK6mMsskFvmQ7g16en1nBHGaEaKfenh
zo442lFDlJiIKy9nc1n2dsPHz4VPvmqTYGWaeQOCv6RtgpSClo7GDoxaELLbueJ6XtFQ2XfnuzeY
OKcpdsB/Lvyd37UX8CUDuQmaQ9fdNxO8IR+8IclnEaF1SSFu0bB1uu6pwfhtn+vlEi6aIfgWvOVu
KZYwNcvVQlU+Os3ffiPvdT8zOMMUumua0Xu6tnc9714Mya1uTgtYfk87AKDqUVbSETgYh1sXDaGd
6XckwF3ycG5knmskPAp+ZF2ZvrhTN2ydzr0zEAbbjVpnnDD/nI6unMoT/F0SumFNSj1qIAT6Muol
ASKlwya31RjJnIswlBL9T72PVF6scOhtgq2drFlgmtUArCzUMBI/xu/SmP79FjkTAfAogF1dugLW
m45UXmRpmXBSEM6kpvS9MT62PR0J1yTpAlX0mK2tVL4f93/PcTNGksY/v9bfNMX8gGEG7G6oq/Rz
XzfFUHFpnMwUfZR7iOshtJgeYKByC7kNJA8NT+fUHbDNLDLrg3bVamP4tgVK+c7oG2UD26SX9Pqj
Odlog4igj/wGjVeHoI5Dh2Z8yka33NmLlF97ACn7WF/AdTn5bQ0L/XMgzQibLOPpz8vwfp6Cwgaq
NZ4FH5Xt/aYP3Js9Wqv1KCJ7DQJrwwAaKCl0O3V75SCTmxBd//yR69d70wGmPwpJgfGEbvyDvf2l
KWhVyNkomlIRDn7+vmgwKWgS/sko6vupVQOK29q4q/BBBX2LVfufP/03p5k5AQ/AkPQ8ynq9+CWL
auFW2EWNTzImaOhs8RJrP9jhv1lWusym4zqr1sS7MRW3qQkQ2+mixcjsbb+AolD59FWb2+s2KL7M
HQJwf/5exu++2KqU4dPfNujur7vul2VFpy4hLSm7KMny9hJ4UhBmna0uCAm0ckb/PuX6hJBJ98x0
k+dyKuZomAyJSHDTb4sh+7EUj39+ptdIi3PHdJ0jQq5ecR7vNpdc/aACXXLGRP61ls7885/kV+Tk
eMXUXP/549Yp45ud5YCz8Gy6/qvl0Fu8W296mhtXoo38zLtWSBztKg3F4RpBu61O1rwxsE22i/xB
6uVFoXsPKnO1zZCNV9ho/uj8sdgsTrZ8ACJYp7LvHgtUrMNW52hjSPr6zVhoiM4JvPKoDAb6NAXJ
swsbPsQhhSvTNC/6ujmlNMn+hj0nw7bmFWkpxoyZVj8ZaqIxRR4HLsaEqFRjWu+51vVogFbr8vy7
2x6cDijrYpOCdN6F1Vp3wKNf+iSF35j0OcpNCarLdGo8FIJgjjNbWqeOAjvKjakX+dYuuxzQ6Vpb
63iVIfbJvB6ldpaGVtY6tjtfbPmiq4s/v7K3mlOMVNZJMpaulotuCw5Or9cGUYGpozCUEQbACFk7
WH14HR7nxYjovfSaDi4+wgtTV6KsOKCnun5NWquohGP2MfserdqYmw6jJXGUeq/tHZ0p0bDmzQtK
92FbJssVLQmxgaVsQrr+MJ6dQSCvA5oHHsl0gR66DKX1N7cZvQzivCLZJClFcTfwNSwYLVg5HvxZ
ExBG6pYnP3DU3si9BjXGLFQj9IU/L+X7zQ+HJGB7mUzudTS8Xq8kyE5LogPcRJgjHc2RhTHZCVk1
uB98kPk+0jA6BLsFpBRsjPc20jAFiRs0X2GzonGS5+Q9xiyWsPG66qVYWjocHl2pbO0uQ+CvN0g1
8jDYUmyB9iW7UabPSL4+Z9DPTl5JvScoAVlfsa/XmrGieKe/fQITTuMUyYWDhmHnB7O83700BngM
QB1PB8f0dnJcUbmacHlllLYl2hUF5vSqmuS2bMk6QeY3e2vsf6z10ixoP/VN+jKX/gcR632A9IBF
ME+0TMt+f00g5t160jBkpNv1TyuYmy3LwIcVytyO80efZr6fYHkrEjhg7msB5vTfJB5WbXRQ7EzJ
/HJMQiHrebeOJZfWTLaBkTg0cEmoAWhzRfg2PrFL/VRPtbhyS5J7W0+epW/MV4XdLIeBwhv9BkFl
XlLZa3E7XOXWePPnTf3+HuWJEaMjIXaJ6G+BBMqZvBIRJRkhig+OqYV6rOHYAtGD+olWNspzevHB
0PI3CT+fxo4ARAyGClDy65NUkDqMdWMi7Z/T2Gxqy6YQn6Cn1PYEsaOjn4rrOBVtf9HSnroMLBqV
a8+QfjtiSWato61DCyFmULTrxNDSCLWMI60VI2zIZqVFiZm6lN2W0z2hCkU3fe2JVAaFk8n4Oey8
NZplDv3adfxim312J6iotiiUpgd7AQeXCIgCINMeisZcNobGUE/iY7OBBCzD1FuT+XgMIgQdKnSP
zbuz6t55tlEXME6YuX1fK2E36/i4SWdCEX+1NFTopWxHlEnZhn9+lb8NG4i5AeBhJqyD2Xi9rHA3
4STahI1k7tJbALA0BShfQtOxuw2N5Zo7kCI3C8xn2uZ0sx1edDU2eNXgQLKvXDUevZke0TnWl+bI
aHTO4O/YrXR2XWd+OY82bWkEYH5K/K4Zd19jIfHRvPl9AusTX0leQZzomCG+ifcqsRnBYgIbYc87
b/oJHHTprUfCTodLpBGQIPKX8ouNo+UOXzHxwZ25qpi9ySd80/YcC8wLcCjo5q8XMvAnEYxTVUd6
wRSthl19awj6/X5BJxwdGfuxkk65zaxUXCAerUPF4IacUAEmKPNPjqgwadI9CPwL25S7i4kSwiY7
SMpfdbjXYq6fNJgL2/P8gdaGodHni7GkSuNUPTlynQY4NNlzmpKRXq49vmlt5y4yu1PNaD/qhbOT
enBSA5IRjrs4IWK1dO2T4IX/MfQoNP2n3eZFhCbXHAmPceMH2+191uWbZN++EaBkqTvuuoq/5MMQ
nUWVrwYdDUOK84CgtNeRsMFESOLZs1+6YtwkYrmYdMy8l4yMAaEahgcSZRvGMIveA5xSKHVwW98V
a3xr3HtszJFV6eSXiok+ZHZmEZ5eztGfn/593PNNl4yCc69Tpr4tEXsEBdqSxkuk+XZkxMwX11Ah
ZqriczeqiMsPot675BnxPeKARVFmk8no3ptdBRcnnpWgEqS1LTcztCogrVzH51lMe369PUOhgfgC
kgPQCG4VzDk7qGAWWN29apTYO4BZViGLj4LH24vy/HAOeS3nbUUNrX/+y8t0MbnB+KESUZaCI+gU
zzCTRvTrlLVYV+XPy/+bj1uPOEgly6CYeHftQCeAN1WLaHTWXeuVp1kjobJb9g6140cV8VkC99cM
0iPGEVFAdAJkM6gcX3+9VA1MG3Hji9I0dU5BBlQ2tZW3m+wgZNQEgX8UZCRZhbITIr/OIXPG+GAY
WnVtIxPw92iXwW0+9DDv+hvMdqc91i0ogY9Dsx85ozu6K+1l4csqCsYZ1Yauyk6VlQegVUqmm0tX
hbhv0YwflLvOru8y2uEXeY9oaJ23zU6rEVDKfV8eqGHsdKvV2bizkTrZ4r+FZ0Y8hnQkm71KGjtC
2NA6guXQmKiIGwSmcNgEDhbBBWQN0XaDvKXl6JqI5KaiTg4X2JC7ovL9XZ/yB6mpPRsr2s5A7OVu
JlELywLBUQ9Flqt4ZTAKMjo6gigzbXD6Y/ArSusIQNUBByaCfOeWTRVW0sZyMFfDCNKiEnTJYgvH
48aHT8wzaDLGh1n7LDv7Jkkzc4eZcQurHtUioS3GV3gCVoQ+hvPBQbPeJuoQPkjCoPpSEAPD89/0
E4OkQf6x4JYHQeEfznWPVYAaqVqdyTa5VG6W+o1scCuL5Yjg0jLDPpXrC6yFvfMV6igge8jrPeVh
GVek3wszt7B2aFyUe0asRdlAe+RecM8hQO7QDatChgg2Qj+stm8t2v1cj/YpWH99Xnc3XWreOx5o
k3FyQZI4uPL1qoTglLf+Bw2nt5cXsD8OFCeYPIZAo7/Z6kROw7FwPkO5Y4kU8hm0iD44vW+D5/kj
PBCGTqBDkdLfLDBVmEMjIPEBDOT4qQ20X3GxocyQC2CQzmpYG+2jquhtUsCHEjttkhvqCcLGmwiF
JaebY4DlhU2NSw7DL7WVi94wdhMGgAFGeprltBe10mOEI0X7QVvLeJvbeyh5kyCbJPD0U+m4vA4h
c1PicVfWXti7EhF/9I9421gw5Pn6gdgXXcig8yOi3T1tBxGhLDM8/DlqnhFwr8LY+gy0yJE/8AH9
rgDxX6M0x0Z5psLyN3eFthvmpj2UNq5ICxrcywZP0GCblXr7Dc2nGB0uz77GuxYb+s70P2vCW3bp
4MEIGu087OFYPumtyVI2LdldKsMSNt6ncZ5bGNceX6dLvVODQD66HWPzaCagEjAowNR2DLpbnM0l
3D6t+CD5cky+w6vvSAJLyxTnYUiGKPO/Sf4Q8nDthis07DlVp9FSU6jLxEB1sh6O5y8RQE67xa/B
O7Upf8DgMd4GC16PBc4VWPray86iF7G10jg5BEmKwFmdY3YOngsWrvkiwWIctAE6VO/Dd88S6w7r
ZGsvVTYcMYuGCtu4qI86ix+5kzcw1Ybb6uQ5aA4XZXG3W0D41OuMvdLCUprLTq3EdnjnoVBNez3x
k6FEgWeTpsmnWXO0rRuPxe28yMdF5RZBqD86Y8/D2ngxJE06XJmZ1z1pdfXjz1vGenfTspw04cFU
erSCrbe1lgyCOFuom8JEKHonvaa2Xj6csmT8XEIQh8FpG1CGDYR03DnemnS8trkjfUSCkE/UMrpX
gvkyxGWOWV4NqFaKRP/WzDnqi0uwXPJbUCBbfUgnJMkPNJIw/MLXJEK65vuSy+CSKk/f6ogWMVBp
7bAxmwpQn6m2mls/9sXchziE3Jc0pHdiUR9lNva7aAWvkmqTtpGDljHt0teHJs+6Gb3QwgmNgcsb
oTPrqzmNDMF4cPRQex8Nxtrvog7XkdDSSjjuS5NeGkgBoomB5WCeotxXFnX5kCUrvCPj2GGE7mBe
5ORaaI6Sjekm2k4BjsMYnT0yY4+xNTI/3/aIJe9n1UdYQxpgCezP42A9oXBYbObA+xyn2Q9qHax9
mU+hgql5hwTQxhXi5P4tYojmPi3QSQyGgnK8SuWuHKcucukNRDYjv5DBJBt94COnoLA+6OH8bu8w
ubBpehN33iWF85SlzCjZO1DfXmAb+LfrWVG9zLeIEw0ftHG9dzfXaitvgVCjk4v//Fswc9nTq9L7
jggLnGqXM4d+AliWXsqlMrb6gkCzpcf5NVpf6aXpKwKeIv1CUxeX16Ehg0dWbss08e8hiE/YuVzF
i4MDICgfdPjmJK93zcy5HnIgr/xdNHTdZYfFV7xVOdeHOXKaSdtf6rZZ7swaMJ/RIAJv1HV7wGXE
YHI4Vae81d09Ur1JmAKJfxiHQn1i4B/vDDMd7mSWoQVvgtMQtkGLy12aPe5SwxVgruCCiexdBz/m
EIiZyLEEPUIDlXdSsCuuRp2w3EohcMrkcZiYFmsiPjw4uGbv2oFrBrktv8TY1UP3tuk4hZ2WX5uo
36JpVSH6FePIBoiZcXaa1loYKERa2yHRwoaF3KSe4e5TekFkoByI5YOs4De7hU1CL2bFo6+35Otz
1rpuIUoUXEMfh2FiCOunkGnZLjWuKp7DgfhzaHv/eUwVQaSTYlGoO2+rdFfgkqIttYNHT0kCIjkN
wOaCCzBH/gEBweaD02C8Tywp2860VgpehnnB+kS/FEk+8LYGP0s7BMdk7TMER2iw+O4JVyec7Rc9
vZwCO9snuIbKulcH1RIuXHQ69shlGVtvrBgFjF68xWIyRzyEi0ofeNV6bStACUYXyYavkrm1+lS2
hGunWi93J1bcPFlx61T1t3kNIwnWRCCu2XSuUXwDv9jsEX0mvKPLt0voTd5DiG0vFte/KoZUhEwZ
Xho0CnbL6LwIr/hmpjy7pndTOPvxcklfy9wb/URjpVb3SOQQqTQi//lqlYJUS/lJ+gSizNoHJYB7
A5AvGBFOU4BzYZSyBTGvK/TLsbO7CJU3btNSAAaX5CUC5fRtX6LJq69ndTaJH6rs5+dqIb6JgX2+
NGxxoVR7AFnM3SMIu62QzWOGRFrIuuFirXgg6Xk10tHc9YGWMgWY4Z//86cF+x3WqhaiQ0A1j/dy
v+vNEfMqoAWbeb1189REQC4THoeFcJEZI/lANy0s4tRepJ3uXxkNA/y+4F+DLvEPrccJRaaY95SQ
QVRxAO+9BvwN5ruLVNKq68wARVR1cc29wNfUkPS7HrRlQa7aaPcYSrkRHKXgwiwz1q5w/KhY3Ad3
9r6X4HXxZLTNC07ncIJTY+2JYOxiZ/YjRHJJWTLS6PNxD1yWD6Qpn6BxC0jEAbGxY/3TwOoo2nkd
59P1/433+T9Qe8wAYLJWEL+Emd237tv/+olQbzdffyt//p//vfsvRie4uF9ZnP/9w//QOD3zL2bc
/FeuR+rMc+f8Hxqnp/9FsU0EpNvgka2vBM9/SZHpf/En1KcuB2qdofIs//JP0P9CapV7Fgo7NRXj
in+Hxhm8yaLX+sCyTZdKEM1D6FRvKgXwZHQJK8NmIpa99J577Sknkm5wn8cSC2TkjfDPm+hExPdY
Y0Ogcb94Kon64GuKFCbt7uQyTpdH0bsRbfLQAEmfo7SvgDY7hKoCed7hCjjNY2NakeiSUC5OlC/q
oMttncZ7u5CXxmoR6IfuyM8y4ixydbCb4kK41p2rnGvHRYG+se/s2KDJslln5lOShrMMVsfQz74m
Py8TKA3UOO0UneFS3xTd81J8nhPCXblEzuSCVx2vPOlf9El5oqVxXdnTo7QoxLvqlrH5HgWbqACn
m0P8QP7+fgH5tPNj+751E3Rl8psyxnYNPFi5aZEUg3M/ILRV3HWJd7BkC7jUGb52KgBkpJ5ymyVL
dBswtXvRYHIAGuC71lm7RpYnG9jyLzvv9p+a5xXRdX1Jv5RC/7xEDyIRQpY0NPw3pfxMktymumaD
4Wh23G3nRlkyNjfOPN94ik5gilULUuJ7DTzawJv58wO8TZ1J/CB70SF16SasydmbCw/Gk18HJqxW
0InAZrKT36sQ+zgDOrrj7EVq3tixcKM+Rv2yWR6HKrNOjuFoF6XLUNnb/JytToWLq1xgxFYWekZc
7uN6OU14D/U4j29dP9Eu9E5sSgab1Fyo3kbVOMOLUUygQAzsR+Z2oIZRrsQk+BAH1mUzMWNOoZru
+9bEpS1G32ha7nqY+EvL3cXZ+9tqzMsYC3M/h6jfpM2xbmTyj8TIvxUj/9+sZf6vf+t/YpiEgmmZ
tFh+2Szv4uT9T3juybfq26sY+d8/+Z9qjcZfKwkVXzKX32eSePyL6+55f1GSeeixQTYyHNd0/itI
GgGRle4VYE9n1YXw2XX/GSQN5y8fCA7FiE98I1C6/1aQDPiQVwfMpdJgoA91Hr4h8fJNypoJQPgW
wjdhq3efMPjMDsh7IKiVOH0Iin38mfszuFyQFYe+LnFKn4oWv23XOrhLaYV4XFXgvmnCwVYxRueu
Rbw2NGBTXHQK/e60QMrbi6lELD/xLpAwrcMOedkfyozrcCmm3ONXyu65zWK9Rd+LSnajpsx9ch0j
fexk1V6t2FpFJtNlMZRo3b/0mBdAWRw7JgeJExQHGlANpr+j2va9jes3FhrfqfnVfq78S1+Mw5Nr
lgylahoVG5Yjo0SYMVxXrp+FjYY/LdU4OCZETfKHqvRsucWYfEQvu5gCsNW2r1XbCunsGzHZdg1s
FMtTPKcD56qP/ayKJiAoD5XShy8MxhfOqpd1NMPyGCZZhtyXqQuBzyo8p+tZqBFIjjZhwtqBO7np
imJ4VJWDjgdtBv2SzlUFk3y+NmZjOGRGO36v9bJEZbdAaaot2vYGpSQt3Y0VTpVzYTiPsT5ap87C
7zgVnr72UES6QdV8uJibYbwb4qTaKytJfvhzwYIn7rQ+eGGhtcyz9wD+ndrHCa2HIoVvKGIcvObq
2e2lc0H4tTFjyHSThwSwsaEbX9PZyI0bDAniaiu8mRl/zZWx8TULfzTHzSLTRSwLYxx1Yac0z4d2
PNZeq+/N3sS6PhnTT/2UaZsxTwZjQ44NUZ72Ehl9v4zfkDLIj+PsjVdsqD6PN64vtcjFHHefrEJb
gPiRHGzrndCNAWVt5R48rcweZVt3O6TJm0tDq4tPmuaVaI1P6OYhrB3VZT0DTx2tmzQQ+r7w8+Tg
9qV+yRuNL0ytbShHhf61WZblmNpJfAtaHIP2nI2q6tF77gSMPd0iMxa1CYcCFm3TjNsxUDU+Dz3z
ZjGNWzNQ8gGDijhMet/+lhnIHGa6stEtV5iEkOnTr2j/1nX5pUyRpUORboDRPzy2oPpx4uk7RHVQ
XMg+l9N4UFN+K00kfFPn6Mow8RY03UDmMxKGwNX0sj9gfSthFZgmWb1sk+yec+BdtbAKPwXCcVe5
uCk/FqgtP7XQ9e+R6IfOgw2p5Uf8pQwpzMkqMYZWGNoh6t4cBHvqGuYgRcTU4bFDFpddlIGFpWdZ
u4x+0aq8dkrfOhhqdRiZyzrexN4IwmYoJMCjsuo28xS3z5iTJOuh9IN7rzLgOHUZgSJxdcVY1HHn
29TO0ju7Ee4OCWhAw4zXk1uJTy4ihl2SfZp8f5bgVNJybwXu8EVmOVZNmT0eZx1MPU0ImCmjNSz8
pqIBXt8bnwKz8Q7+0lhwCqUz3PvBZD70pTce3HGan4MiK+/nzqzVAeqf/cz+zl4A4lpAJByDUWM1
m+k3Iy7sYttM/uqLkXreTY7x3n7WSxNh9by0mlCg5xmNSYOjzepDFcleVDf4MVj3A9OpY6wc87Mo
WwuqSoOdCYvi3qZZj1m96TbGXlcYZkS93ic3y5gbd9g8uFE+Zt2JRnT5PWcL81Zjy3xsMTo6Qaqz
9rEBKB7MaUZrrvCvq6pc0N1WMxB4z4p1qKsSJdtmTC4dY0AJyheCBMJxENZRmmHca46Lha3nFtqe
8+tde6Ir73yV6J9sLJ7liu6w0qNcRu8hKUod2xOAXt/HpcbXlab6Fg5y3myV06xZ7TFHxp0zj3oW
aq2o0+5jjaZ/Vo4N3OXV3s/CzvgwBtW1Tu6pkVE72g5BIxKXoDMOk2+Ud26OjKfDwd23eplFiv9j
JLdUn9sBt4quzXDcyYKbIc+SKzGV/ndhBdnVmMQiNMx6OTYKynHilubB6xz9WSyNuBoGZ6JPG3dR
WjreJTNn3qGZuKc4aGA09Hm/JRZViBfN+bKtnX7ce2X5bLRFvYc4og4WRKC/tbQJXb//O3cLGXH0
0wtD0DtqzHSn5WL4YdfZz7yV3t5ttRnrXwOCQa3BV7GaY6bZTeT0jn3BrODGhMmxwxZEA+NQYQjA
EOEi0eKjnihnFSOf9H1XaPPTDKUsha2TqDszBti9SxJN7pVt7paquF9QPw5LVE3DOpVPhT6bF4Xs
UPlV2XOuDWNxpCvlWRvEs5hDJvYIbb5fprCL7eGTMdj51TRoMvSF7Fbc6iWIya/9JA92BfcKUUOx
aSekyct5Mq792jwZNgbEmzr1dapuFaRiMwY1YvFen1+aKAhA8pHLnKK4GBdU3zr/2Nd2GcGtOCoR
09mPnbmZd0uq6/bO8LsZL/t6lIdBFd/KucCroXD7L1aBVAeeF3N2lc/dEFWp0ejbCrGFTzDPVLQ0
o19sFCiGrTdM9IfTRJShWapk184L/KJes36WwDmzPVc8VGOboQ3JjJYUNCv7DMcu2XIPZGZbA/40
26rdLkXufq/qtr/x3G68yUTaQuejKvJGLrEgQC0ZPf6ruvZv+FpMQmlH5PdWqzfWlv7HWEMhG6fH
OE5/BGz3L4vj7kh7riDJ9qFom/wbAbH5lLkAU+rOKUF3IMbJl6ob6k5qzXzIli9a0uhY4RXTMbfU
Ga+ygM0bu3lrBYqSzhfOc2uK+Cvy7g0Ckd20X9kGm7LUvFBZUj3UiCcfkB7YF63XHhG172+xzkwe
sWKXUbk2usBgFE/jYMvQ9BYYRn5Rldmh6BJ1GKsAouEglQTVhaz9Boml6pY7YIz6QgzXGDYsR5OE
7DGDD3ycWm06NqafrIIH+oWk38eF5DmnZagA1mDb4l+kirVygm75bjaOfvCTFSuEv1HYlg2gzNJw
IpE6EUj1h9nFNBQFebqiNKikpXYmIzhPp33tI8iLuVXZ76HA/rQAGJCdsBUxEPgP6s5rOXIrW9Ov
ojgXc3VQAW9iZjriIH2SSSa9uUEkHdyG93j6+UAW1cVSSa0Wa+ZoGLpRsWonEmZjrX/9ZoF5FCRB
InOSukPHYEpzUx3OJK3QtnjU65s4HyAuJF52QLmdzyqdksKokkmAmMrLvEZ1oo5qTS9s22comVE5
eYSTJjnJimlHXFE4eOoyFymuzRPkGGrqid82R6o6vChKFRA2wWuqnwGGGE8Njgj6aKD0Uym1Tpw4
05cpvelRDQd6BS7rylXHW8UplfayRoR7NeiTzW3Yt8tO6U9kPyjhzUF4kQMTrkLbo9/vJlTRA/Ma
9BxJMVtZMNO0/o5/xMgqscaH0h6J8YvkaImBTnos57F2w/kmi1s3mzSGXBdaGEDHeDj7srROketi
K2tZZzkheC6EQZk8cS8+RT4hTsgI9M6AcezjBKHtMbKIWEUVHRt7nlCYOXkelMf0IQkSLdV4Jgjd
Z7TspadaryonRqOa26YUxrMTeM7OnMxXwi4IL7SyKI5wuNE7F9wjvJOUpN6xbYpNMcbdvCqsRx+X
5rWVEgDu61FzUoPh3On65GsSpWnqMsdEIjxoUb7LGTxT+YdauMkSv6LlN/KB3YPsKX/s06WgdVo7
pWVuJMMazgm2r0aQ1GZLrByTX8lJt1ofD9edVqWnfRLcZiQx7KEgxXedbBdrzcLCeoghbhBasWBK
ghw6NJVFUvY+puFKdlJaEW86yBw47ZHIlMpszo2DhytiUONGppXhNNvJadGw4VE/ZrdBGhr3Tiri
reKn3MBlpZMaV+cWwvamyXH19oMzXyUWImlMIldQxT96A16caPwH17NVPnmo2mVl8R7vLcs/YuR/
Zdatf2NLHlVmYsrzhoKoLP3N6Mfw/ms4ZYk49AyJ97xRe9nF6iKby0aDBRipFTLeJXParNq18+4x
xPKFhLk82UZlN3Bbt+1GMxQFl35yYNQqJqM4IXmsC2yU9TkbZDHZKImnrpWdJ9/OtQ2sDpwnQsLd
5E6UjwNxjkeiNX2MKkIRMxQkpsZLkAWDoGRLTOI5fXqnn0qGPazGIC73hOuksFSz/EHmhjlp8MUi
+6LGvlJltkrrQzmB5cy6tgbc/x2ZXEA/HC48L6yoFyJxiBVn5KvkJNekY/BIM6ZuUKpim+KRDNIS
dnMlSWN3HrcjqUwICZW71Mqk+wRUe1mEcr42sHeYQiIFbLOxT2h6alvZl8BaMwyF5pVNgikxWk68
tAHSrJnTMTKjk0NMmVdcLwNS4+2AnTp3VmeuMimFlO81O00iKwheqZVBIyI4LpuRsPjiUPBjFXDc
pw7r5/Wsb1OAfBysKU/lbWyWMqLF5Lno+jV6tEu7sVlGacM9YZVI1kU6rCvb8peDXhYbROD1Buub
+q6Qs/YwtqTZOJZnXkv46B1nQ+Y9StRMjFmbtJm1peGsuDw684vW2mmjyI+JEk/uLNtrqI0MY5PJ
lLSNJkm8BYceTZxQQ3ntjLiUwRyW+uMiTdniizBxVqoWkL4IiTmk1M/spccE8VHGUlxHPmswbxCe
dY/RrMkIXbbj65wSaUFOu3NSd6O4RZYWroaAoGcG1/3BTJHCu7BGFcKJBoQLejqe+cT0bWNj7EmO
rjpmQURQMW2x1IUHk2MzglScOwQwHvzBQ0dadvltzvuNLb7SNtagJwsz7sqdXTNTJQwxNxdNjWxR
9YrsrEb5R7hC1pbPhFq35IGbpFNUrV7tTIPQy64ZNPIS8GW5E5VWrKxKfQnjlFjtAE6FOwyhtrd9
XGQ6DLWu2TiwrZcxK5rnktFgtjCqGESp6lIahuS2MWIq19ESe8IsTDeoRXbila1xIsqSZL6xGoc5
8eTEOOiJWu2x+MpPKa6jHBPzbFiXkTpJjHmJnvsZzC4Xd22xgUiPCFwZywuiIJrOpYRL1gmZ63OH
LoYAccWfFSKtrkwZz/1syjgbqtgnx8oOV16JMA6j7DbadKmpukbVjduE8mxbFGN32xLZc+lQhZ4x
QOJtMkbadaL24dZplYis9YZ3kdeNJ8Zo5CT05MRDlHqk7NIKs85AAac1ImFs5LztCyZbIxbdzIyM
Q6szuiFJVZMPianEBeDB2N/oRNOAtUROBfBQ6zCafJTFR9JYKQsts+l2C08al4MV5zve4/ld0Hv5
dWsVxmLMdRoDm8HfQDDBKfkn9pVpxdYW22HIfU1rwMlTkxOjGCixorqKCxcVcnurWLU5N3BlPvX0
Xl2VlTJaqNhj825UPImiQUYentviSIoNqs4wsjJXavRiYRVeRM6R6XNp7UPegYAEkbQaAa2W8kAP
zvdQZio8uZZcAtOz2V3jDov0WTphD0rCVVJqR5mXkkiu0ISDy8aYlSzSsTYfJJ3+oh8jyiUnNvGe
taQiqcGscggkoZ/O+NaUtxIRVaEXiV2ow6wx1D6dGb0O3vwKaP5b6C7pkfz3vz6gtK8JMY8ZzR+v
qfof/z9BuxOVA301YzCScMBfGWD9Ecg7PzyVhzd704OPuen60D6L8Bd8T3/53TnZDz/i68hM+8L8
TdUdWLgG6phJt/vNyAwioUHUtwa3a6JsfjMym/SGpICD4kzjtF/RYFWeIsdN1uPrTEv+e+k934/3
38YtqNDBQFGWAouBFn8z3ufWBpGb3I+87orB7c65VJawPGhgQjekNJ+GQUu5OteuCKZzGmQSV1UR
LsPkxiNnJOTBsWF4ynFy73gt1vZIWTBqkpaWXa5aGg2vSjaB/TD0+jzIfbIaw5umu1ex9JUGWMHy
eDGBTJ06nCK3h4m0ze2XyTJ97ZmXLaX4U5AKNzWOB6YlabfLyF/0zBeQFRha1K3YUSnmxohqsqRl
5QTe8XzoSN4KhlVixhFeU82sh2JiSCvZJLo6UsieyBpx0gf3qUOfm3YPeM1dVbV8lhQjcWU+HgyG
NuSLyoK4kD7W4tS0W1IwsR5zlQjGjd+5IijckgGMpe6VKLrwxbjRtJLdYEq3TraxbAqCgo9RVsNF
yfNTTGB4ifpg2swUSZjbC6hQfR5FrqRlz0ajAzYX+p3MtsJlWuBjs8gcn0DAbqlXMe/+AcMGrGnM
cg4stNPCel8j11Q87TG2zH2fcayQGA3wHPW6D4erjN0TsHbh68iMAO8U5IIWOXMtq8JL3vt4vrkF
nYir2+FJUXWoLv4FtQlnsu8mDW+TNGSDCgNji/Hvx3srbuWqDzPJWfRjcgUelM10vdoTEbgOOnOB
sS/wnWVugVpWIj81kp7YZP2oTuxmPsha6ybVBMXBIzBDsY4leRk23bLEcYzQSG2vtdmy740LTTew
qomqeaGFR0V6JDf6qszTI2VggmsvUvz78nA8M0Cm8ARYlAr1CJcwH8IXvTTOjfiO8hpbPGOGkcXS
j+KlrwSzktlp0WlziOqoLK252mdE+0hr6Lf70iiXrabvB7QoJm+jfoD91ycr4oQvoxxIWzFXI3WD
cm8aTFbHZluY4wkG+YxVMp/X0ZRq5XBXxkO6zFsmjOkOe+8VjgkuIOtDQtSPEPgadQTqNYSt4Fcw
HpMXtbDJhx5yY5lh9JOwoMv4D1mvMmzZLm5U1T+J0ku1LHelp68rpbtM+3vC7fqjnEgCEDLFuis8
orgxlr2VYIcEubICEY3cjtxhxXTWhVY+0fFhKpUMp/7QeK5NEPTcqbXmqOgKNzfH+2921x8MfL9X
cL3uzhgKa5iLqzLEge8kImNGrVh2+IKbWfxMsvIN7jVUK8p9QZrySIK8YpVkt8QnY9Oewj4htKGf
AGFXAXhZ1oV1HBuw80HmNlgtnGKUwd5Vn1e2w8CmjvdR0MJ+Tf/F3Q369t3dDQHCYlLMBs5XmEhZ
H+/uivYopzbyFoVVElSlasQwc8BGNusbSjx6ZNcTgY1za0vqk7mWEjapQmkOqrXs0UwUgUB0LY2G
i7hpnFg+3LO+usjUcA3kpkIOoFsPMWnw2pUm+n0YNRe5pFyNGshKqT75Rn+RoCShrqspJsva9cKY
DzbrbAGKztbYqi9yEzST76R0rKGN42bMazTf3XnQtvvObo5yk9o2NNNdMMW6m6ZzX1ijgqFaewnN
6rQVOtkuRo65TRQsDC2/7GrpBT9KMbND88WUxEVlRrd4kKzKtiI7WXnJRbgKAA2clCPwiw2NsIvl
8KwOjOsuUVawEB1EBg9dIG2GEMAx6RYYavsEqMst6kP66zRX3S5Ek+j1C2CnHRam+6rm7ZHLKoIR
Zy0paewGDVgtGEuButxM9dsxLq78sD9tVDqsljCmUarXGvB1gSEqnjIXRtCtZX+EuRQ9enJ+IQLM
qlUNRInnndgOM7L32NZtsrzbdzqqSWFfJIrauk1iIm1zFo4C19w3lmRYLbn0x7LCpB4liNmHNzgP
rFurWdTExBjDTs6Oa29cVIOxrAnxJo/IxaYpGi8magdYOfZlR04eb0Ctb0pO4Qp1YjiLPMScabKy
43ERdID8pVa/xITQ9rW5b0BVizK6KxJCmZ0qQkmhYsE/anrhRnhS3USJdZYxdMLCq5inZde5Tt7u
QyN6LITe4hb9AmSx8STnRq+EC3b/BA9hSW480ZaZd4yimn/RZvu6iNcq6rooyy9occ+Jzz7S1aGb
j56Ja5rBUA02hCfVc4p2iJvd3POrlDfTbaR2a63v18STQ2ZIQxwHa0reIL31K+O4L7VrUdsZ2r1b
Yywu+6TBCS5qNoVnvYyqduQ1AX1YRcMkFP9o6OkkG5y456VviwX+QMexz1vLzE5xMytXVikf9Irw
UkSb55k2HPBvQi7Y1LeyIDCUniRD9znsS72+akd721rE7mhyuJDiDfF616alpLMaHxo1iC6VykRW
3xzJfY+LxehgryXmWAqtpa6f97K8T0yfhBfvGhzStUs8unTn3GyknR/f0e64GQFQjhecVG14piUj
/oMGfVdO3CnxYJyxvncu+mHC7VAc1+OmVIpzT3poYyCCUb7vfUg2ar9UGucxAv8H92uZqxrnhB4h
AwU0XOjSSWmf5GBw2mnaELoa7kspmTcETpvaeTuoGDfYV9hZTiaqswwT2dRESpf3czV6jsMBhom9
iKtby7nsjMANe93VBPgEGYzqXeNfWH6yMu3StfUzCcstv+rOGQ9zu0gM6c97lViHYDyWPeHSaLs1
76jQ1DdoU7C5Y/oTu06EBsw8VbpHcGbgDe22bnD7HHiuY/XWdvaMNzGqOJN9ws/YK28IMI9nTWjM
/fChw0gvaV76iHyj3HnoNU0snZYY7dxcE1u3jkPlqe2ietY4AemImUNiYeyDPXdzdShcosvtTcQs
3JVaB2m0n1yjxvQXvTroT1KpKkyqUbVqlr3ssvHIKNPLwC+s+Rgpl04s3WXDcJPF4yX2aPvRqy2o
teVkm6zpG7+O0QkLO2WMhjiz7dJHDClX9mgRE1S5JuHmM9mmnPKD/oIxkO+Wcr6A2OwmUXeokXI2
DMXNzmOmy+RwNK0Hcpa3Thc820Nz6aTMcgnmhtIw+POsojRxPAKDPYu56cR2jdr6Umik3iugG6N+
nOXaSyyLWaSs/NrcMsueK1m5izvMSxV9FxTGyTDUKxsyEO7BULZLnUmNjlPbvCuckBTXEg2d7tQL
EUuD+5/B6KnCaijTcsPZxwwAXCqwy1BObstJ/ZJkTIJ84qC0QNlybkLs54YWK2cYSJll1TMrbRpX
lmw+JDEvflY/+qE9rf7x2q76z9lE2vnwP4tXouNZ81wO589VI+r3sNPpb/7ZX36lS14OOXTJw1MS
pvOwqsvwsf6WCgTNkn6Nbk2F1Ujjpk3+D78fpXF8eDrEwb9c4CurCKokFErNpAqjFjH+maABKRNC
j0x57SAtxQPp1zZSs0h6Zaono4CBuI107dc2UlO/cHTU/QDXjmYgFP13SEVMgj4UQxJ+U1T4k379
YxGkizqLlbjGMbSzkmXDwUM7JM3Fmdk56JWrOel4ZEmpDchYVlu5NqxtptrUJK1ZRyek3Uu1mxLa
nMwhoJTXhuQ1mBnZwzWpyI4+A2THlLfEaUUwZyicc0LtqjMrlvUeSQ/JxnArxiykMGV0ijiuVbwF
uUVe5lYTbf2htRmBbtos03cV9K8tUVzdofWG9IF5CQonMKwcnkhK4iomPYSsirYihgg5q3lfDjEu
JFrm9MNqkGvgIRXiTrGpMpIkSYIP9Gje5EpUbCPbDM/63CJzCzpogeqxSS4abGQgwjct1Hda3Tt1
iJN93yuDBAasgmuW0SjEkt0rMF3NCOS7Aj84hkck+4UzJ66t8z4NW96WkdY+RgbTOCdK9K3S+P65
MVkQFXaoXqhG1NzgfWXsE+x9zq0EaqJU6wRHi3xctXKfMqWfgqhbuKfzIUMioEEHgpLQSfayRZHJ
zqU2wSPqf66jJKrAWQjVbOkw4m48yiVTe+kYVV3IGN8SmZQk+IH6eXE3qrFOhugArzaoIoZniR75
V5YuWox7m6TeB7kjnwxRRCohNnoUuuR2tKuYpO0evmnbXaHNkK7Zk4i5AIuVr+xGQbvpmMUQL0JJ
yHvbDNSHSOnI/BjtYqaoNXt+L/vVHgRgwjhBf61FknvOUaTF9XGUBhji0sSkaysqQpjvSQGdC9fe
+p64DamcG3pTPftkqFwa+LWDoTLb4uVQEw1qeY29y/IS3y4/S4WY146urmK8fJ1Tw2lEsaiHKGUU
OImViYLAlX7X4WYZYpBeZPoialNJW6IUsJ7h7nsAHqJAskAKYz4uTMQnykxykghDP6PM70ddBLey
muOKl4R9eprgNtwyqEkG3imdSDpoPhZFLCcWDCPUk5Dz12JxOdP4oJ54syE4N5SgKDn7pn8L78R7
YYRmkV4pVO859sx6bUdFozzmopUh5pWMFVZa4jGm5LNqrDJLiF17vIGVY96qKaNCIZjpdl312JhB
v5DKvEnncpjw/5VaSceKFGbxom1gTOvZOEb7OmjNxtV7z6ArG5KrAobL04Bu4673sZx3cWSz8jl1
4BTEjmolkqVYn+lK2m3ywML+JaBwlfFjNE19rqaFsGdyFtcoWxy/WQ7OZL4fjIP97LSlqc7jylEW
tiUMbDn72jqTGzJRWjSHWDuRGX2BALp6cEqjuomiQD7R+3FcMgyrszkB59iY4LvQnkmSXt10pUHf
ZXTZ0TgqBVovWj2apig36Zq8Fr8Vh2GjlJGLq0IU4FwkmY/7cNTmN0NC6HyqxEYAlGNWGjCNnm3S
2icJFkRmdA3uSjAiucsCJpetwazNMmGNZO2jAwGyAEZqLBqiYax3IhbDuemMASwPD3v0hTCGHotp
yVgpuZA3WA0DG6hcxjvc1McnSg6fqXgt02KgnNs1VuDvHHR5gasi2j/vkjy8aFupSfASN5WN3GF1
pFdeSeZs154SD2TWoN4pkpmsSW/JObMW7diBMBPfc1k3bDl4RxJAE8Ud/Sk2tdTLtdykyDbt6D4N
u+w0EqWxqCYf/8jp+03jlePTNDyxsdUKMmUVxxRaYE0D176J80Cj+vDzu5w83TuLFrfbOnDRSJjo
rZJaQ66vuDpw4mRCVU9pU7FfFnUxbCWjZwbU2ZXmrDJYR3OPzON4Jldal3OvRtmDMDTzstYZqJIm
3uDKzzA+ulcyHZP2oqPPLIoyg4zZ6DWROOZIo5fhE5e6eOHQsqq5nF9XkRLF56qdMQCsB41NB7Z7
MSchQVaPgoiM2XnL6R8XMDwxhjDzoe1x1uwoDUt5qDRE9Xm588fQC0mcdQbsjH1s2MsCX/g+8IOX
QCqzeV7J8PTUksYLzSKvG0vE9ioCfw1mws+shTcoFIJ+aoUQdOCI4Y5Q9Fu9LcCKtMET26ZrzXFm
tCKpZiKrMzhWKvNKxSc0F0FVv+/yAmm2NEjxqsU9aaPUHuWq1Qh91sPE6JeFpkXHWgkra6ZmtYZs
QQtw6zstmx4v8ICUUqIuqnY8HqI8XzRJQtS4XOhyTNZREj1YRZwuaK2Oup5RshuJhn+VcYRnOeyq
GxK9u22NSyiZmENNh8FEmRyErCMa06+tbMtjY2Q3CS7cEf6t1doyAUcqlEGwRsWdsEtyvM1JthDj
NuMGqSO2gYbmkselhMZFwKEhu2w7KfsQeG6pnGOCd6YqmUPyTDs+Cd4GvKhDymXK9SNsaPrZQBoT
KG5VnzOibV90Xj4rza+1LdzCg1V25nxsoBOPneav1bqqrrTe0NYQcSweXSEQI9qK/lyEYDCzTLTO
vgEGXcbk8vSz0bLzrUKDuzCHsIGkD1ePOKywLPG3j/rjUSvqY+xWcKtvvXgnDDbyRdSlBW7fxGoM
M91WpMatSQiPZ6jKFczmByfCNKaIN2NYZedqpIstgdTasW3X0dHohPoReI5NPF7eVLcO99m8MlL7
ERWzmk4gSHGqJ8I+TxPZWkd1jYZUz4nlUntJfXK4YeZepaTkpzMBL3Dq1RdJTGalbNT5lZwiJega
Lj/ZysFtQjOVAMwj+gUf8mVoq5F1ksaO+aiENSoTGEzZjHSMfJKKGBh8FfVloVbVY+8r+d6szX6X
ltFg47Ic+SeVUVmM9qwA95NXzFLkWk3NpVr3yahFwwTK91emHkI9NrrEf/aCIkCoImnHUZND5xIJ
T6HbQYDjBZo1zV2rD9bCagubpkuDzVTInn9nyTHQvB+22GKagXQf4+cRMgWMUMjQn64CO7dOGRdp
W6fv4heOt9xjoghHdGygCo35UFGeQYyFKFXa9aUzdAnoStUZ0VzzQxukCR3Kme2X9tIajO56RNa/
tMBsDlhzUGrkVdxB8648wDYIQGnJYFDzV1yq7ljx6SXnJD+WZ2GpEQya5dOMAhtEdio162uxyJug
DLdWJDXZqqnL0tvkZS37cxitplgKJVBOmCcA9Vpdi89iJcfDMsTJFUo1akVsFdXSPmKGMSazTO+r
mnbVAUa1cQqA26kWJsy7oSvvujosoznmMDIYySi8HdQ1LZszIg823CEOLElmNPCyLV5qHY5IECos
zn9lNzpE3oRAXLVPxLWuB8U5SGiFEyL90Hk06DC1ldafSapsHYWVYZ8qfSM/h0yohctdQIAW792J
v6o2zHljxrYXgyA+Gm0pJYHblVWQLvwQ16e5ItHC7G0jab1l1xr62iKeGBJ4rDNZEm1qg8/zqpiM
BKrcg+2R+P6sdzJrZWJKd06YcV7MR6ezwWccob9ECQT+eeoAojqGNBxCW5KfbFs0zTrD65+5NrD/
hOVDSIJqXeDcJ6Ioh21XBzPoxv6L6mfheT0i5hycXEFKEFYjM3w7XIxWVp41Uw5gaeHhQL6QbS4H
qrZoTryAunACCJS23MRAImblHZyuUM/llBJjQdXrSLMycQyx6HOzj6mvhfQisKugRmvKjQORQHXH
tsiWEiEyi9LSeEx03stz7uxGWRSRnB00p8hVDHsI9PDayTw+V/t9Jot8wIw261RXzokSQV6ND6CX
FMHeE7G+0WLbP42RG5QutlMWpgetCp5Vap1NZB1L+leIPDkmBQbidd5ZxEEXjideMhGq5+SOwoYT
MnRu4RUNRFlU7FaDWWZZYr1ca6TnmJ6W+zO43nLmDj4G+H4K6asZiZzxcuBe15D9nNB4qTyKsaqg
wFdG7BlrxXkZdMsbVpiGWv0OpYp0iacPq9hBZZCqbuOwpdJzqivGE96WrBs4ScKZkF9dwYNC7nLf
1dTQOWKIkeLtIccY02IwtZIliK9tgaTc4h2y8EssQUCBY+zyIngmOvkGcFhAc4l5BP4dqgZzglrf
6uh9bqkDMCeInRSvHfJZeGhE5uI2PZLqjoJ1FoHkzvsobs4znemNm2gCIbpXENiaFnJ4Zslglkru
BMBXGHgeTQzzBRWct1BN74E61VnJPJOLrKmhGzqOf6+WSf0w4DpJvEhI6oU/qDEk0cw680el6l26
A+QTRMKuRonEp8Gv+8u+9/ZDUCt3CpzsMyOcFBTqZLjlmUa/tVGJrPVc+EemmcecdzPc2oFwQJqt
0FhlsazeFMTCsEeFGQkioYT0B15v6Ls4XOWJCxpPNRuH8oPBFrMOKUsXMQ9OtUOkMjn/ajTHJfNY
MKwwqgnhG8Umwz0+dGF8Z5cZFiVLSjhzb5q9fqFjoLyxIFbvs8rQFh3S/cH1I7O9LKQcSIydV93g
vmMvEE8Elzx63l1g4q89g8qUsz36IbsLBEPo2KmcnDD1g43uBea+1VWzdAtUBaGrETaxMyStWQdh
oJ2EBAEwoU6j6LQUhT/MDRkjjEBurI2X+GRZwWmuLwZVhFeNaNq9I/kGzrieslcQpDwXVVAtSyQ/
zFXVgVG01OnKjVpnVPVKHG2Mwox2lowYw5VbsIykZr8KG2RNJPwk0UZM4W1NmiQrzy7ANB2p36g5
2coIEfojSfBlY4tFQNrTgpLVh6RkCK25KXnVBXxaIZYyk/15SHjVBSCefVkHhDVA/soxL8sZsi6L
GK//QFN7uM3oAZBedww6dStIL5VEYeCjt1iB6+qLRTPIJLGIIaf2jVQfD3pvIYXVy0Ubx3Z6Lnq9
uzZ5KXMtxwL6V9Nm9VOs98PsP2nORe6lmlhrg0FFI8q+nzNvxx8FwrhxCq0H5JQ8NRQFPwsf/L+d
wfuVUvNDFBE4ko//ikbuszCtL7PfQI1/6i/98UJ/DpZkA1S+ByJfD+oVFP2jNcQBkXjzBOap6F8s
HCdUXWdGO/3AoRFZ6n/9tWV+mdSLmGwh5p5+GJYCfH5zjn7vLPzxF/wtYvvbdT58AaD3tJ6QXh/P
6m+h1Vd2wgcs9ndOwXcr/PMUqECmhmrI6jSmnn5g8nx7CpxJyw5agenO68/bKf9/fwp+F55W3qwA
mFP/mfPw3TLfnAf7C1aOZBFj8f/6892tYH3BPZSkEgOPzOkHJet/y63w3Rd4fp0DbJ7+938QYcyl
+9w5MIimxmGZG/5H58Dm14Rdw9J6+6C/0U2AT7NmTh7On/r+aJK52VXOpP12kSGoffss6F9kg3YH
B663XzN4+HvdA9NpwFrvk6eBLYGsGvzlJxH1t99f+WJg86zZnIO3n7/b98fnZ5KYf+omUJ0vxOMq
TJ0+fnnzC37MKiaM9tuz8bfbABT8QWwOkIv2uRNAQD2+JVPox9tVZir2zV3ALmCYjARVKvbXH6ws
/l5PAZzPaY74qZOgyF90jAQsEjI+fHtKAl3mAdCVr6+Jv91WiL5I/ewzgG8Dhg3yZNDwoxfBVBdN
Vsvwf99+/nYb4VtRoH36UeBeJ49Cgcr89Zt+uBkc5YuK/b3NFOXXX/+9HgUNTjWP76ceBdX8wuif
HUF5uxe+K5Jtmf3ApIZ83y7+u4rk36+MOPS3O/S79uXf6BRU7QvJK/DaJ6/vb3dD6ws6nYm88O8/
Cn+ifvq1m5oFoXh6bbbC5+ob2se//AvvnchvF/jaYUy149RGfPiLEyXkbem3AnP6/398OMGvXdA3
v3zvil4/5+s///oFf/vRHz7r/Vu9/+E6fC4P5WMwvP5i+HqYb55e6BUCdAz78vD0XH0gmWA8w9P+
zwP6DaHl12fgD9evqkPyvsx0ZiYKyPv//5An86eWRch0KN+X+Wex/tmjXR/K4XvfnrcK6NMrh8nh
MTiIH55p7KOotD/7EdtDkjS//I9Dkv/PX44OVQCh7H3R11vSgMHz/gd//cwfHcoURlR8eF/qde03
6OCz3+CI+1R8t/Br5fHZhY8PBJIcnrrn5/zDYU9sp/c/+OunZHd4CoYfP0MTm+rzH3D6FHL47+u8
PkVwyX/Cxdw3T81j8FyWw4fFTW1KLPrsSd83aXR4eF/n9ahJqPoJR31+iA5MUg4fgJtJPPUT1r4I
8c/8sGFpsj3Zp372bFweklD8cnJ4at7Xms4IRb/Jm/Szi1/VNRK0H2ziX8uVz65/81zVv7jPmJqJ
94N9Pfq3OuCzq+8ObOZsWHX54R7/Wnd/dvVVE7H6RwLme1f/6bWzD0f8K2jy2XV5K//qtXkSPmYP
XN1NhavcU/Xt+QdJxUfzJ9z1/1U26e+/npi4Ka+qrM9+rV04ZuXHcoClZQtP5Pev9dd34csSMsPH
O+jr4j/h6f2x2vP9oKdn4fWzaGve/+yvf5ET9KTTpX5f6evqyEMnA/tPX4NDOp2n94W+WfwnnKbd
s0+Ncxg+PBWcmenYf0IxOX8WQfjbI9d/QvH0u5rdt6OfjHE/e+ZnvLGeQrTCH8vsN7T9J9w3syA4
1HVY/eYTvsJYP+H6vr5nIKN/f3d+/YSfUEtteRX87vo/4Rb6l96cr/D/X394/yxZ/5Mf8+P96K+o
z//wQH7Ub/46rvttF/o+hvvRP/vYYk9/41E8H8p//B8AAAD//w==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SALES</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 lastClr="FFFFFF">
                  <a:lumMod val="95000"/>
                </a:sysClr>
              </a:solidFill>
              <a:latin typeface="Calibri" panose="020F0502020204030204"/>
            </a:rPr>
            <a:t>STATE WISE SALES</a:t>
          </a:r>
        </a:p>
      </cx:txPr>
    </cx:title>
    <cx:plotArea>
      <cx:plotAreaRegion>
        <cx:series layoutId="regionMap" uniqueId="{E1022157-CAEE-4B28-A83C-A1CE4CC15D53}">
          <cx:dataId val="0"/>
          <cx:layoutPr>
            <cx:geography cultureLanguage="en-US" cultureRegion="IN" attribution="Powered by Bing">
              <cx:geoCache provider="{E9337A44-BEBE-4D9F-B70C-5C5E7DAFC167}">
                <cx:binary>1H1pc+Q20uZfcfTnpUzc4MT4jVhWUZTUh/uy2+0vDLlbTYInCBC8fv1m9eGVMFLLg/BGrP1lYrpU
yWQmnsxE4kHWvz+s//rQ3lybH9au7e2/Pqw/PammSf/rxx/th+qmu7ZnnfpgBjt8ms4+DN2Pw6dP
6sPNjx/N9aL68kccI/rjh+raTDfrk//5N0grb4Znw4frSQ39K3djttc31rWT/c5n9370w/XHTvVH
ZSejPkzopyepgqc8+eGmn9S0vd30zU9P7vzJkx9+9AX9x0N/aEGvyX2E72J2xkUiGWIk/vwfevJD
O/Tl148lfBwnnNMEf3vmi+sOvveoGp+VuP740dxYCy/x+X///NodjeFfXz/54cPg+ulkphIs9tOT
y/6jun7yg7LD4csHh+Gk7uWLz+/3410D/8+/vX+AN/b+5ZYPfPM89tF/uOB401bqmzn+BhfIM04J
SWLO73OBEGcIMSrAR8nn//i3R3/xxKPa3O+Jr1/zPHF89o/yRD7AGvm7oIDYGeEEkwTLL4ZO7kBB
0LOYYZ5wjL98zL49+osfHtHlfi98/pLng/x//7N84Oprcz19M8bfgAd8xhPMOcKeA9AZS0RMJDjh
y3/fnvnVAY8r8oATvn3Rd8TVP8oRV5AYmuq6//jNLH+DK8gZZydHSPLF4vIOJCA7ME4RwfwrYui3
R3/xyF/S6H6f3Pqq55Wri3+UV55em/56um7+zkBFzwSKKaYU35sw+BmCnA4Z/avTyF2v/CWN7vfK
ra96Xnn6zwpaF9dmu+7/Rp/g5AwlEiUUssKt+knwM0JjTGMqv7jKS95/QY/7PfHnFz0/XPyzSqmn
N+a6/RvdgOIzShMphIBQdNcPNIbEQdHXGssrZx/X4343fPue54Wn/6wy6vk1pI5rW03m73RFckYZ
jiVhyUNRKpYJwfRrMvfKqb+o0/1uufNlzzfP/1n54/lNWQFEtr/RM7DnY4RB3hZfE8TdOitBZ1gI
LkV8f531lzR6wC//92V8r/yzEPPLNEGv4KW5/nhjq2/p9W+ot/hZgglUXOgLZGJ0J4rJGOotThj+
Vo55mf0va3W/d7yvex765eU/qu56d2OnH9Kbvrxu/0b/kDMJwGGxEHcdI84SAdsS+g1QXjD7i8rc
75Y7X/ac8i79/9op9zd1bm/Y7/zFf9u7wmeABRZj+bUOhqR+O+cnp/08hx0j+4Im8NmXR3/ZnXxt
MT2szf3u+Pq1O4r/P+5XPdzL+rO1d4Q9Rva5J3irnfX9Tz+/HrQpva/e6afcectv5rv8+NMThCD2
/NlpPIl42LZ//v3NtZ1+epKIM4qQIIwRymGjwiH9LIDWn55wCUU0tLlkDDUDOJVA+OsHM1U/PSHi
DEDHWcIhKxGoKaC+s4M7fcTPBI8BeVJgAfVdAq3Kb6/2cmi3cuj/tMPX//9D77qXg+on+9MTkKO/
/NVJzQgjKqhgLAEE6w/Xr6G5C3+E/pct1mJoVMIvKnRM2M92hubAn+//X8g9Pe+W3ASrmdt2FdnE
qrZK933b3lWYr18anV/6nP+FePDKbfG1iJptWXuRVWY05vXC97h8W6778On76sM+5V6zAMRuy0+6
vZGuKXiWYGb3Vxp1SZxWpGYojWnc4ZSScSrOv/+wh3wA7r/9MAu+r5ey59lqiSSpjElp0mHj8vfv
ywfg3/sy8V35IhljXScbzxzS9DlCC+3eLHEd82ebnPo1j8TOTdpto379/Qc+8EISVvrtF9Iy1rM4
PXBuE7FeDZUr3IFaV6ns+w84Cbpn1Uroz9x+gFT7Ek+OsGxprFiu+EYKfNCNxdUz1lQ1fo5c45rD
aMd+E2ncUjSex301GyiSv7e60cl09ylwMvWt5a1FZxtmN5a5spzHg8QyFwR90g0ZlyYdy2XuUreJ
6NmwlKjJHB4G2adRKXEHFeH3VHjIxqeVe0uDtty6uWULmEBidiBm+CTYoh55v4eEe1FhAKQucptY
tm1W/BYP25AWs6t/DlP99NTbqstacUsMyxqi1E0Mp0/P+kg17hAm3osNQ7QwPVaMZe0k5l/RMtJ0
LXYRFnmkFxlMu9Ra45Fl0xDtexav0WyOXA+DCFTfiwZ4LZHc2hqiwUBdfdg4X2k6jgCl4/ft80Bs
4x54umReWO1KkXetHYvXoutG9ysZ9yS+mqIqEa8gtxB++f2HPbSSvNiD6y3qB6ujvB82wV9aBdvx
X7tpij4FyRdeqLEydvGyMpnvA+qyraSRSVfVWPOIN04r/h6gC89YydDQ1uGtyIdI7t35YpCes3bZ
kDqOqqJJ4GO8eELoUMhFRyKfJoeni54PfZztPWrXTKtpWcNwLbygMQ7zWJC1k7nGzf62MVv1cy94
8vb7vnjIVl7UWJpVogVqnBxHq8paawR5VtJtGN81TDbrI6Z6YEWdOl63o0clS91IoWVuWrpdRt0e
/5yUyLTp91/iIfHkrvihUFsMxuG5EyNe07he6Xu+DzoLE++FDzeLQUg4Es3nFjwwtWWXURcJHai9
FzycIv3WbrXMqZ0b8MEm1yi18ab2wAd4eG6SiI3JCtZPUDf2lxqxfslMLfblZZCBTlXybfcKvBGL
opXnia3Ur0Ja+3JV5biF6c89oInNwIl0zESuCZ3UxbSTNUmrplviMIhxD2Kr2kY+YSPyxpaaXtoO
zzKtHTWP5eZT5LknInEPZVtZl3G3gIvHYtPmWJdEiJddtM/8qpyKrsnWEm/9b20nye+uL5f+kUj+
UM3DPeC1a1mIYV8gFLay1VdVZAsBlX2TQFknp6WmU9pP9T4fVMV1d96seymOnC5keDPHE3eBBvYA
uhU8ErKJirwTkTsStYhcipY8sj7QCSn3mRffXX9snlY14jHJSbybIdtRMU8ZK/a9vdAJEdvPpe2G
TzqiS3dBd9mzFyshuH+OhZT1b7LBjD2iygORiHtYln3N9LAommtRWHLge3Kj13UZw+Io95DcGsLR
ttYiN5Fe8nJCtE1LIsuPQThmHo4dMlzWdUnzUq/yPYPs9sLGURcWRtkJHLdKyJGUfR1FIslZCzuZ
g0Oy21OnzGYfWWUPoIx5ccKqcWN4NTKftqXAl5IaE/+xagSIq3AVD2mvnO5SvHNdftDdbnGYW5gX
P8jSt7CIDM+5LDqX6hHbLt0cjQIjOPPix073ZnTciMyNDGV8m8vjzofoGOZ2L0jwIon7elz33Lpy
yvde1Ck3un4kBj0ACeZhn6O4ilYoVfMaq+6AJ1Qfi23AgYvKgz7segaJ1LDnGPaNaVyhd31JHysk
H1LdQzPiuqdrW+55Kbbpudv6GNLzWKE6cN14cK5qN2litj2Pii65xPPaHAsiaR7kVuqhmeiZ6akB
6VOB6WEhwqa2QypMd+qhWfZ4l7MAt0YTrg4NcXPKG0HD4ij1oFzHkYmXwu75iFR7bpO+PMyM7uff
t8wJNvfkC+rhtS9Yte8oWvIlYjew7Wzmczo1us+nRfDAN/AgS2Yx93VTLDkB4L5OpqHOEB2asO04
9SA79VAKLTtf8oEyfikT5o711geGG+pBFk1dW8i9dnlpW/pUtZ14rtc2UHUPsZCoi6ZBZMrHoS7Q
wTBsD6Jam+r4fec+AFrqgZYVpW2iHdo8ulfrVTOV0zNXFG0gqDzIQn80mpGrp3PjysW+IUss25+Z
kbwKWzfEQ22D1DyWM16hJHT7odHs/ZZs/SML/wHbEA+0rI4aKmUxZ2NboZRYh9MxSVyg6h5oia4p
Lmo5g+Wj9wZDfdcnaxHmVuJhttG7iSLLv6pO8YhTNvNQ1X20Mlk4WaE5SxZoGuOTdBtumJM7blU+
TTzrorUgfa2T6uBk41LOcR1odg+tFWVyiHEM0im+GRVtz0tVBna2iIfWBjjoUpUgPNldl7ciMbDz
4mtYbXA6RLltmHUiomi3Zs7YVCzpimacIl1MYSmKeFjtKo37gcQu6+e9T5dK3bh6R2FWPxFAb6tu
dzPpoVpc1jUVTTll76PZ4kDhHk7jghmyVdGUiTHuj3ZV19btNlC4B9PRJmsNlbDLap5UKa9VmzqD
RaB0D6eC1FGpogRUTxx6buF45GUhyjbsiAp7OF0dxT0FyfmO4AZEuveSs2M0RdKGrRnsQRWPa9I5
Xc75RrvepBHRLNcLnj4EJSfsYRWpApth7SCzFra9SmqLjraptyxMOr67Jp0pNCk35vIpIb+jGr+y
lLwKE+0j1W51t23RlKsqegHh8f2GRWD7Dns4TZTqBOrFlNdLJY+uYm+HphjCHIo8nPaNjUwincsj
NalDW4tnAo9x2GJHHk7hWHjRdpVR1rfrR7Whd5h1T4MMjjyUSrWUEeTrLQexdkp3bCuebpaUYaEX
eTidS+aqhpopB85b/BudIA6kVu0orNJAHlDd2OK4LQaXd4PZj8Mq/qiULgLN7oG0kGoUszIuZ5vZ
Dl2nQfXmsZPXk5B7Ngcn8sDtwJ70nCoddVMOp/3Jc2lL9LyNCv0uzK0eRPGEJwP3p2A5VkWVkm75
TUgV6FIPozsdkrqoGpcbNpMUyfV9O8qXYXp7GKULXRdFQHZU27fUbc8Ztc+DRMceQoelKMqJlFMW
F1F0iOrimdrjwP5A7CEUIa3FHuEog7tjP3ebeC/N1oaFltiDaFRBnW4GsElb9a+Gcjgvuiosksce
OqleNrJCTz0b9vnCLPgpZWEZNPaAqTc28UHD3o535TM5rHlvirBj1tiDpWqntXIOlNbdL/vsDrX4
NWyFeJBsk9rovQEn0qr5w6zJK7nzsDgVe3h049ys28KnfLM1ertvE85rR+wxTHEPkaQv1r5WyZTb
CKgEuG8ukiL5LUy2h8imVZbB3YsoYwqq2yjm1zQhYYkNeM93gyAs7HFsY0jJleJryiyNjkki5iDg
AAn+rnRpZzFRNkfZyN+Y4Sihix1iE5p4iKzKaqRjtU25k0DmWIjVKRr52zDhHiYXOH/ftr6wGar0
xdLC2f5I6ilopVCf02Wci5uoBeGyZS+J0x8U3UygVTxcwkWQLR5lYjPTkZcMZK9uDpXtQRMtShCy
ImgbYxI/c7Ksr0a68kCreOisLJ1bqGdhobCdp3tc/9LyKqjAoomHzTVxdGkSQP5Ktqk+xLTgwxFD
BaSCQgtNPIDqpaMFnNVMeUn1dbTM7+Dw4ZegpeiTtWZCYsMJ2MW5kh1H16gU7iKKoDoCGkJ34Wmq
WUA/egXF1/WlG+KrdR4DESo9hNadiKmoiM1lQ563QDjM4IYMDrO49BDqSgOcSzdPeazbVzRqD7Wp
gooUKr20aVjUbyXpbI4xw4elQ+aAaP0pzJ0eQDc4UbCymywQDPj70q5XSrA3YaI9fK5mKhqJI5Nv
qF3SdhDjed/VYcwI6hOrBrb0yQz0nRyOkPZjvw8vBLFhx/5UegB1GtumQovJB6C/tKl1JnoazfH2
OswyHjyXiEBUpA48Om8fLVRwq5V/BIn2CU4TJJ5K88HmDS9fr1pfxl0Xtg59btNcyIbXLTX5Po9V
Ni8lPkZt/yFMbw+caqeFNWtj86TSh4ZuLzr5WNl5wsl/7qqoz2JaIugHz1qYvOpm5lIjeP185HpN
lxq77RCmvwdS1vRr3wzM5K0iv7cVfRfp5m2YaA+iKzAeWy4KA/if7cVsDUrRTMOO6qjwUFriiilD
MChO0btujvqURvrXMM39HLqOujFxZXOGFV2ynbiNpr1sqyYsSQsPp7QqS+lkC0tyjV6pDr9VY9he
nAoPo61iI2yYQXSxJa+mWP1cEB50DEV9zlIrt6Ib583kpOhwHkk8vULlooKYvtTna2Ixx2xWsBKL
eN/SzYw5oYGEMerzobq1iKbVVibvZx2n8SzOx6UM6w7DrYe7yX8y1DmagMkhPD6dN/y0ZWsYhnwW
VLKUravH0uSiKPtU7NvTxKiwczPqM50SWCXxihuTo2F+SdD4zMRToN4eOo2C0wm+RGNuuXynkHnV
NmPQJo5yD5zFSrum1LXJOVgmTYCEno5bJ8Pioc9Gmkg9RvWQjHBuU40Hg5tXLkrCSlCfihTHsM/q
WTzmpSJdnS7QqMhcHPEww/hUpLpOgJVWb4CbZOsO0nH+ulXxHuZRn4o014wXwLUb8z0x+IAsfQGZ
NOz0nPo0JBf1cmDrAMtlSGjcQKzdGlulMpmboB4OnPDfxSjQc+OkXHuwfVkt4tBD8ywvCjqGnSNQ
n260Nc5J0xU6l5FtxsO86O6TS8QSuGlk9K7+qMMxXZJI56ba7LEreZ2Chdh5UMLzCUdCrKuM51jn
ruX4EHPglRPY/aZh0j3ETi0w8CzpdW6pKKcU7bi5bra1LwPle9l0VYabZQXbDFU9pGrqfllbFJbz
mJ9O8bB0kXBg917qi83G9nxph+oiyDI+32gmM9l0u+i8Ltj+Lh6K8gJGRekmzDA+4YhAnGR4A7cm
fTHac+EkoSkrBj4GPsCrfuEwrhl6PYPliV0ujZG/VGMb1punPuVINB0GjrHRuaDTG1XaV0szvQmz
u1f1lsW2kLYtx1z0ye/9sKC0ovQxbu0JkvfU7T7RaISWuYxcp3Niavm7gEOFC9d0c+CS8TLrFEfr
thM25IDUJOVAfUmjLRJZmGE8qJotgjP6FqSzeXMpQ/qq6R9jMX0uQe8zjIfTUa1Ar5N4yGfelEUK
p8U1BBuh1uZQdknZXHR6W964zraXxJKI51NVjewtXHET40vo/1nzJhEdv2jgXHK4qJue8lS0Cprx
5TrKeEl3Wo/ml2XEkTvE29g310NVReOBQ2GJj4hBrz0T2q3u2CLokh04nFKvl26MZJ1jsVb0shjq
ZTugGLoJv0XA7N3OEamtOBKxgsylVdN+Xo5JZeG2Hd7deYfxuh/t3JH+91VQWrycKI/qPyxi45jL
HSdzblZ436OedpbV8czkoRcYNQe+idJdlGgok2dc9nAvLB53/AbGly3pjLm51MqaPY+HRG7nS9fO
9DgbWrJsFguFFnZbzfRQtroboJ5Nku0gjSIi7QZl0NOlL+rksiVoovkO1l4OjDTz5b5H3QvTzzE9
0nie97QuTLG/aVE9iLAqhHoBs1up440jQ85ZNUDXJ0pxSZKweOMzvQgtNigkW51XvLspaPOmECpM
b5/nNcNJzNpi0Ju5IrdJe1UwFNYcJF6UZDMwUxB0kHIYPbemRZQ0adKiIdAmXmVj4pLwBg7t8hLX
dbo24ydem7Cij3hxsobrrXMv4iF3m9Mv4IKWuhjI1IWFMuLVNBVXsesxt3lpGvqMQv0KzH83vQ8K
ZcQLlKYr53nW85A3snS/Gjnu0Mzv5RRodi9Sjr2a4JpIMuQJNJVThutn1V6GXf6iPskrBggzKvWQ
b4MuuuMQL3W+jrEK3OX4NC/UK7RHBFYkLzu2Ztj2bk9FxJrxGGR8n+o1deNSRNU05HBQ9WnR9IpF
NuxGB8Xybims3WLmcRNDXsUJ8MgmK9b2QJIafwrT3YPrzMadzA7rvB2TXaZiGAmcsUuMw7gYFHuI
XXTfongtoUCAubOpE0udKaUCCwSf76XFUtR7CSkczmjMARhl/KCjJc7DjONhdonhqjRT/QAXXdv2
ipOZTSkfDQ/j91Of7WXrvgQi0wBhuHfiqupJ/DvsabewVjD2QCvWbtw7C/UqtLLWy4IWLhfxJAIX
vVffYNK6RJ2yU6268mCXsUzd1HVhAcenfCGDVrfCPjmPtp7cVMA2v9k714UxP6lP+mKY9HVVNzpn
XMzRZZP06BAXy8IeOTt84F4d9YlfcN20KHgr+3xvETFvdaPm4VCIHuvjYofoLVw4exFFSVsfoYpr
kkOZwGb0vIoYG8K87/PD4J4uj10N9eeyjZU8RF0NAyi6qtdt2DbaJ4jxmOywZzlFpmJCxdNOlXDv
bBu3KQ7rTvkUsT12Bm684j4nBKkmXZd6oWnd0DmwwEIevLndO9NjeMDmMNCWd/cO2PsfgkKHzxJr
p26bErf3uTa9Pawl+bRPLFRxD9nluCNrG9HlUNuet7i5wtiGtQA+X6G8RUXvoiguF5ggkk90tocm
onDUsOyvw4zilctT1ZoSLXOfF87IzFW4TDumAlOlzxNbBEzj7sGjuTJr9EdXL+SDiSDdBOnuE8Vs
TfuB9qjLodZ6Ieb9aTuWj8xyOa23e7aKPk+sXOGckZuhz+2KqyvUGpnCZPElLIn5VLGl4UrODely
0sihTGspx6tKuL4Kg6lPGKPJOhDex10uWF8fxkReNBRtYXnAp4wZ3Zdlkag+T2i1PLOmowcx1fOr
7/v0VNnfZ3ivak6WZpsXBPm93ekIJX9syyRrYzQMGYddXR9UYxGfuwPTP4pCT6bNdyP+gI36805U
777/BvcvHXIaJXWbjErnGI4G4ToW3BAcijodrZtvFjKGjR4giWcgBbVyXxV9mydaFtDdsfKy48wF
QQqGld9VfsC1W3cDyhdlBXt8hHUKIyXCwgHx+TsJ38XGLDQ70DKh7dgrOPw91H1fz2E7XZ8aKDde
SE7KIY8dmXQKfqhPETNOhmOIc+lpguJt53aRsuOcKAg5DL9xU/y6REWQ6WnsRWKYGTLJ2IDu0DRl
R2XghGZ3qA9CLQwSvKt4DzEmaoDsmSFhitfzFuk3fcXCLqnBsLS70lvVIxdj255Sq3ylO8LySTEZ
ZHTiUwQ1NI3iojst+QqaTcMoX0W0VIGG8TZDbpv6zW2qBeIHTOY6wJ3S8f3eJsMcKN9zq5yXQkNl
2+ao4ttRlnH8coD7fK9D1iOcidw1/MYVdLiWMTqWqFyHqzpG8QuMNXOPAOpzp+U/4zHxiWXw0xJ4
5dxBNOOOdT+PCPXuQjXzaM5hI+bwOczS4/Y4snYdnkUb7AqeaVGP3XuMCD13HO+XgkYbS5O9cDBd
YYua5ueuZys+dOO4qcNeVsX+x1Bsyp33GnLuwbF6/UA6Sp/Oup6uNlXN56RwC4iAGRhVGneK7m8r
BPdbXjWnORVveyW1PcKGje7wqVkOVQzMzxe1rqL9CH9t1XOCi2EOKiSJT4gDXuOITxeSs7JA9Ys5
aZJnWOEyLMESnxI3RA0boDva5HiNbzgeXyWofBm2XE5Z91YpCXvNrYv40uRkB55ti+klHuxjgzRO
iLlvqXiJz7moK3e7NvmoYVbHpbF7uxyTDVgPxwV2COUl/PpFW70PexMvDaIxgd8OmFmTRzriGW2W
9nzXbflLmHR8107VVjjYI5ImnwdaHaNifzfV+DE7nYx9n528HILiUrnGuCbnrVNvgFVNf5ZVuV6v
NYoe6Ww+9Agv6MRFIkqsxyazK2n4sZpGM6p0NtBsv1QL3Gh7ZFP9gMt91hzQE0o387bM4Bd/mubc
sRUBOyxqM9XtEh+A0R3WVSI+ia6soHdSmBaM1uMIiG78HQSiwJrqNH73NiwiGDgCjYC+yREcx01k
OZ8IeiRAP+AJn0QnCHA5d7iDe2zKUUyXSWvZ+SATOPfn5dzGQewCIk5Pv4VrBrK5UiKCMR0wSBDu
upe/JaMIu9pK/FFgdktGpTZT50Kw6Rw41zItKhS2WYGp4Xd1nxW0IolDVa6opOd63rqjTFTQPo4I
D8gx16htRVsc0ayu4oKkdOCBNvdgvJG4tcMEovedZkUynncKB+0Pic+h22AQmrJJUxwbhZ8KFj0d
eVgXj/gcOqAVngbhquKo62W8qq2d8oiRN0Fh06fQFUxU80YiWOyotJnWhqZb0tLzMOkeSuOkMQWL
I5ULZfVTYL2+G8stbDgs8Tl0JRdlNGOn8nbD7blLpv4iHtswKirxaXTRtsJ5SmdUrup6POpKPouE
sVmYXby8u9bx6CwZkuPUUbWeY7z8ok3ThDUVYeb1XXxWQzKNLe2TYz+PL5p2yGszhCVxn0q3Veta
diUUUu3kVNq7Pj7sLXsk8p5e/5406zPpZmDn73DDD0Bk5yEF1thBc5goHGZzL8HuMKTHzpNWcGup
2w59qYcxLUyfhBHSYCD1XaMn3QZ3LhqWwEWrYcepbAvzdFgbFXYPkvhsOsf7ohcjSY7dssOZ7Stg
ATximc+t2nvs7nPpKN8RDKcqqxxtEZmfxqpjcMGohFmeb2FS0pArluwkFePcsYxDd205jFPDZpiQ
qfl2ProkHrNdoxJfd4LhOS8kUSKoA09OP6dzO0+2yUR2IpnNlFjNOSsmmCkcNWHnasQn3pAFk71t
JpuRpauAZTG9hSuV6yN2fWA5+wTCNRoRjAyZTjs9M5WXisTSZZVtbH8MWtI+g7BXauISVeK4mopD
bN1q1x8q+DUJ8iHsAV6cMlPj9rnQLnNDpbNO0uWoExrUJCc+gxCqTUY06VyGTiPLFjbCJXMqgqjh
8KsAd5eNFjO1xQTCZwdjp1tLx3RocRg9kTCvkKCVg4v8rncZrpE+kAbVKfT3/ggzuheohkbCT0eR
YspmXHWpjCK4e7bSOCwl+/zBEmiyMY3IlA1ACkqHxpQvWkGmX4N09+mDdNGaID5OWZTAgQ1t9jJT
GwszjD+uTJkFDXCGPGUwXhO/7Lu1+YPHuwir4Hzu4M6qZZzcbLO+5+0Bhm7DMBtahA1sIf6wL7eM
MDJLbDbbBNrTJm7MQTSBtQr1FjtrHI/ICKrvHYxrWabtU2yqsLuExJ/0Fe26G4uWuKyE2zPHZKmq
AwS1sMN7+Gm0uzjd4RpEoWYorITGf9iOvOkqHHa9Gn787q7sqoPe46Cpy1Rs4nTVuMiKAmh031/q
D2wTffZXi5oRNwOR57xo2fyycp3qzjeOW3NOjYYs+P3HPJBEfCZYMZOCohpeAn4EKDrOmJWHfnVh
TDDiz/vSVSGmiYP0suzVUQIN7JAM28cw1b3U3dSAKeAzmkyvejuobqyPtivCsofPBEs0jaeOMZPN
jZvPu0riFAYY72Hpw2eCbR1sN3azmGyq9vYc2eaXHdUs0KUeXPeqo/sAvZ5My0ocunatD0BJDaP9
w6n+3VXfi01MQhY6i7rIHOpd9ynRW9jkJrgBfVd6QWlrUM11pqaxOuysaw8SJteHFTQ+B8yhDVrO
ppTndd3vb/dYr7/Wcf/YKPkHoOSzwAqyLMgBWTljBsF9lFPW1hg91iP8P5x9WZOcSJrtX2mr56HH
wfFtbLofgIiMyF0pKbW8YFqyWB0c3MFxfv09UdN3qiunq6pNJpnJUpFBEPj2LWf5vau/ynXhcINy
dVDqmEYona/Rt7Ef3v3QQnqN/uriJC7hnyGO0Pkq+2zdgU509WY//tjlX63TuB/puJNZHZnRAwC4
7cbrWx73g/yxtfpa7stYuSAUNuqobJy1KrnuyQ+GM6/BXxDimlxIcGmd4vi74CGGHwMk0tfIL/gz
NGUtJnXcL9JHnY/TPK2lz37sob9api3pa7eHMS2gwnUaZvNI+I+pCdLXsC/CACqiWqcFB/yhHaLb
dGje/NBd/x/IF2SE6pkOaZHwRcdXqenBu669Xt7/2PVfdSUHE09tv4zimI7xBgn11KbXF6ren+kJ
Xhbjv8h0X+O5mqgzqfQlP2oT2ZMr11XfW0Gq6gCeqijPld59fef28t9Irn/J9/7Vh15K8f9U6hUh
KYe1nXrkfpsftjzumz4xh67DquuPdbl1fTaNGnY12UAnnO1bG+ZBnMfe8FofkVi3nc76vVvDuS5D
VH6h1AN2NxBAWruMtmH3PkOQY6bbjsfS3K229DE/b1Eqpi6b976KmoxQ1dAqm50wCIRGjqHLmJrG
6ouZa73EWdqJRp/p3kHuuQhI6EVVhGn1c94F2m5vISHn1yZjHSx+IPMdms0OWayWiKeZCpCG706x
6Tik7zVqlk5n4BX0C27QinF4bxKNbKAVrfxZG43/npcpXQsOuC/NFjyhLl9XnzRXe1g2uC51hNrh
y4iirViybY5J7DMmeVV/Gpq0U990tcDoB0TOfZx1BrWvNny8gPROZtdhywaIRtnc+8bGXSFAnCwP
O1o2ySFKys3mpcRMU/nKfWC6SNadkZtYrlwdG7bsGrywaQwnuAQMueBm5XctWRpZkIZ6mteCT4jC
pJaF1BDAzbap4tMA/GY71lXhFJJmkaNCslUj7mwaZpHBi1aAN7I2V2UqEDZiL+F6ucZojXWTzRKR
XabiqNfFoofk8+Q0L3zYN/FtafZAj2YeWXe/z4nkz/UEv8576kpKb/eylktV9Ds4KulR+SWGIsLO
xdLfgaEhMV6maQxuriK7qpYjgaoxojFNxr07BU43/3WSuhmrfFxRDD4LMJDUu3gTmw15P6RwEqtk
dJGB7Jd+8BFYLDtAW1DQEcu6HALGchzPCUMhLTnzbpB11vFOHXlXD/nIN69nlCRCZNdLZLnaG7LY
7uBn7FH3fKyW9t22JdUgMR3GZDm2lNktH6s6TaASW4e+QF5Ty0/S0WG8UduOIlDNyLLNmTcOxfxM
SSYSRFDOUUpzBRPs9k3cyZkfIbDSbTdD4mNUtYmDttqONrNbK3C3SLDcAcnJIbJG+uVr0kfgzMyr
SM1bwXQsi7q0rP2K3Ef2WDQ6HdfCtmy0991CKv4O8KxJH9sgQBNSIxnZ9c6ipLuNa9/t35uhHxcw
ZuZoTO8nLNr6MJg6JGej43b6UEdakgTbW1dxlgmdKnNPnOvir2lbljJkZaV0deX9urJrMjfp+LH1
PLAcmvcEbPTK01hB2pnx/lvpfNVVWTd18iujfDIfwC7f6xzdJZxd4HmM4Q6oPivx5jFKv43tvO5n
nZgQ3nU7iePc1FhJ39oU0/xUdcl+7xSpjiSZZPsg50XwA5GNqZ+mrt72Rw+CRxKhEw3dAFlclIj5
2Xo3DD936NzUNy2faLgax7Yvr6ZExfPNMsErM29TmiafJIf/7/fYd+U9KOTRNdpI+zdQW3TWelYV
FQSComJrdumv4SGx7ieIB9GPvWpSVZgeTMc3ItT9cB9XZROf/dgs4RBNdbudVJgJvxJ868gHwsuu
fKonVZncBBdBE7ElyoJEozmM/NbdsvnOkt2RMzXc9O9h3FGODwtToj6SuhtF4bZ2xd7pmZzrI/DT
8Xw3qZV/66EJMOQl6m7+od7IjK2kHjd/4Gx0c1UQdKvWm66FwPGxrBYDek0k1updLa1Kz9oYwzNX
RjP/WteqNXk12M61mRziksB7KKXb2fbausL5hESFs0MSZ0O/e/OJOoU7KBipYsgZbriLJqrsnLVb
ZIfDcJHkySBot3f3kwcx7cDM7D8nJHgOe7UKVpE5rCD4HcKl6qXEEhZ529eJzrn2bPwQJvgzQuBI
a0ieZbTb9+bsHViy7wL86eYyqycnNuz3u/HjmLUOx7TPUPFe7Te/rJQ9w4JjxoHQQa1GPfW4ymUg
jVvmA0wc0ek8DD7RLAP3c2BXvYpVd1jXivYhq2In9xu/2QpViw3OUupEyoAYEUy2uj5buKxF2T43
TfSWs25OijrlS1RYssaqEGHf2+eZ7LQ9rW736mrRY1QWk0/KcEth3vVIYts2b1FFTkKXNX3v1BGq
8ZW7Vh0ymPuAupI8pl2D886VJZuA807r7VZXpO3ycZ9jl6dmFhF4C7MtGw/23G7jJ0c6DTLGkDr3
2GxEJKcRLeP2foTSXTNla0hhoANd8Wzys4rPMVXWPTA7RcOXpNlkf8t7ajHHhlr39Xfayx0zQUOy
zR7GSjbrEd9saw9Md6l9z7u1Lq9t1bT0DBIt7++WOYHn1gHbUc8LWCXR8mWHVDI0zW3dspMdm6oC
thkMLMwRCR2l67p1wZxMqykwwwkwxORgDVwPs9WFIXmLz5TPa1y77XMP0Xhw0lVSj2k+QX6xyiPs
T2W+lWZ72ybc0ZNUBlwXNgwAq+p1llEezOJgKTePfgOBZBVxjoaCrB9xu4w9bD5UzSkakhSdo6bs
ouWd1vs4XAO6W++IioZ9+4ZTww4dNFIJid9cOjWU5LSexH63E5Vqi514D+VZthh6CM1yGI7demzI
0wPcL+x8Jq5W7rQ5rtjl5N5qaAJUeIzWZk5hlRPo1VX7UuVT40N4Q9XWqwxGZpIfRaqxv2Ud9e38
QFwspy/7bE3aZr1bN3YOKSXbfYrZX39s7QYLGnxJOpYPHcph/kl2eIjXe9LOWzHQhbkTzv/IVHi4
iV4PfhfCVwie3LhjMOdqPa6+i/R7EQenH1c8s/V6aoEffGjXpm7ytK1H+3EzImGfdCKC1BkUwshg
8KRoX30foJlKHqFan6ovI5RXus9TP3UJ8isIItJct0krTlo4GxC/1UTyMZuiJeAo7DccH4j2IBnL
I7aKwkKkYQyAjYroK1TlQ5oTHOrteV+m7p1YML8PHfE9z5ttR/9FiyH9wBLgInIaZNnmyEVTAUfE
USxXSS8YXzO6ET3dm3qqQTmOId95NKrtxzuqjY/6jIOB9aUdJ7cdWdyk60M8kBn6u+izqnepHHx9
XHs45TxOSU0/SguXl8KmJUoBsokcvw+DKcWRzK1PHtB/osNT3wm738TtMI3YMFOsDcDiAVSTVx1E
VOe7UvfKbLlM0+oxAPkS5Rtv9Ppkdz+BEA3ea+JzyBiWXS5U3JiHzqLGlNW66qcDDeDV9kdQ1OKD
LOkwFDMpE4xEU/fxXbqYi5Mrt5fgRwLtW1e5kitLCr1MJF6ybt/Ch1b2UE3Kdg3W4jsDcht9riwf
b+dhQcSV11Ub5XELVbiQY3dfM+E5dR+SBbIHp4p7g/NebARhOgWB17gs0DRy5wa3QN4s4+BEnjA+
FV2ol+Gq27DUPzEy+/WYiK6P4UwyQ/IsThsqC9oDR5pZGu9HhcPIu2xmZWvvF0Cn1JBrrkV/29ky
PMhwMUDd553eWCk7cpBwsNlwjCLkKOY9xbbv+zWqzh0fmHu39GW8Pg3zEudoNEzJ59CXfs1LX6cn
hGtwzezAohnRdcvmra1PtTMQ1kjBq8ZhS/N9d8pkI8yQeOFmkpwqxAMfvBb0poKUks64aieb13HC
K2i2miQbx7Tl19JX4XsK9k97l2Dp6Ku9tbu6m6JkfiQeEq9Igai7rbhMdsROcTo/rpEBktxtIueg
kd+hKQKyNsxLKdTIQUO+C7NM3o8+qg5d0vIu03pzN2vXq4fKQ0G/6DCNc7YtPk/qsjmlaapuF16F
6yre+s+hWtu3ivZz3hD+pmezfs9aNaisIsYCdrL0XTdlG2mUt1mFaDccA9zjwomvSfXM481cuzZI
VWA681zvy74dh7ll1wHwxfS9j6R4W/UeqIUicYOITqUWq++zEjNXgiYfavK9cWVw7xnjPGRrozcJ
KGe8+lA0Fz2Acx+2HbIpco6DgbPuNNkEeUxDx7ao+BpH12ucgo0NWqkn13Mdl+reRpt1xxU8f/K8
8z7huQrp6m6W1LDqMyJXPR2YS6LkZBrTpLfttvYwe62Gtc98bGb5TJfekIeJLtQcINMQBkgSWF6f
x2hV/aeohpdwm7PQsKYgtq1dtrAGoahyi2jyuUeM4rOSRpT2WWBhab5tktHpdt3Gdf8KUyqPcKh2
kmF291hbzGQtCEPtASo6ZXI1y75p32wxcv/DOKRUH53AvlMgo6nEebrA7w6T0Al9AKmmZTfAz9K4
iNXG1DkGbWr7uQE/QD8s1klD8qCqtb62k6WEZxAUkegx7m3ShzdIjUWCLBiQzf3G2t5iX6gH4eM7
o7Ek33ZIVv2njnXqnI7oM1GrvfgUW9pFnzW6lEiTt5HBBBFF6DrH7ECwlJXLit3dzstWrLqa5QcO
Tr97lh57+0drJ5W0BRNThPOqHFi0vuV+b7cqi5JE0My5cta5Kmmf3NtdbuHnFHT//vvcgM12kC2c
BJ9CX28KggNsnB/h8cy67TCsUHe9Uk2UjI8cqww7IqHzJLE91ZtAsbAeQGs+tZTU/kS7uiO6SPcZ
IUDWc84ryMCPyD8Q8bVTHlZziUVg4+L8m9bNc+WvVFd183Nvo3E9jm3k1NlatTCM2K78XExJv62f
O8XAReJ1p+xn57tpPZqK6ChX3RLfNFNV8nxCN9ndhrZNKwyJaEAGtKiy57NZJwSlE4eczPOyQyUX
BOmpvB2rZLry5SafJpoEh+iA7bt5CH3fZzPsOjOQwqqFwl9MtuMxeMlCXsHhdDnv1CJBq9UiMuv8
GJnMLc7bNyL2ov55hbWJPOwdIXXB/eVczSoLj4lTiTD7toE0F2YdjTW9LltYpt6YKowflMRDKKhz
adxnpAFu4Nn2exshSg0kutp2zOsrxAGxuHY4Atov3tPmCilArD6NkDgXdc5URZons7K6hiR0rHmz
ZJhkjOYSu2pANheBOLeLOm7uZevJns9Y8O+7mOlDXzZ8wFIrl+uRoIJxh3oFZY9y2Hh37ddZfUUl
5iNCD5dwWKpwQMBHeMQkT0NSlZ+hZ9E2RaWxKTbt3N05RxCZ7RAY8edeyDo3e4DhCPD/5NSImfZ3
k6O2v5vLxd4sxoztFxhEu5do6qwttiXCMKabeO6W9NLc6STO9i31zxyxhCuqfUKsDlyT27LeC30E
WVnxrDW+QmyAVuUKszu5oV6LndCivuPaew86AhwY5aXSA+L3/NwhGMsSBgT6GaV0ZW/pJKfokQqA
+AAKEkO1nldeVa7HoCyBWDC6y7Y5bITKVhxayZs31QRv+EMMmsP087Ym3ZpHNSpXn6HVAIPamUmb
HoY6CQmmZpO8nRvkI1dhaG2WtNhATbYuM1zsqmSpv0mmbfJM/VKvedA2RrYj0n7dsnaVffSpaeLy
q7yEJie5gWX+PnDz4rrepQh31RQjmNVpt5wUPEFkrvisX0aGJZtJWHbksAUh6aFXqfyl+NfRHQ8h
yAP0LcsUqQxM1Y9bIrz4aKpIgX/cqBKVwUhpKCNZA4mCAkGJ9teMj+O3vt9ojH0urdvhGUptqs2T
ufb01Lo0fEfqXO03c5+UL7rud8Xg/x3W5FbXPp3eRyXh7CWGZQb7jtSyRmWkrditGucOewepQ55U
8eQfZ1UKA6oRektpxSvy2ESco5qN0IPcMA9B0aNaZ54Um9sJPax8tWvW62V7C03kOP1gZrW+iaLU
fpCliN8DQOH2q7EEW+QUjUiMt15v64GnEoK+e7uaD3jm3c0Qd4C18RYG3NA4ScfzWCs15cwM2mcm
KruPYOpu2cTA8jEm9fxm3kz0KLjf7rjaa3kcS0gvHHoWtqsJthJXsenJOYVNMva8gdrnWlUsPJhq
BHt4XaH3k7FpKd1bv0Di9TMERJCc2eDT+iNKw1RkfA14DolvW2wLisZ0RMQhwD+WxL2vN44gkaKU
UFWIMloWQR5W7FExAwbPDkxWqJt42KvDp0TMe3OVGGKeIb/edk+JHEEC3+DA8NTgRjLarLFZcmzb
wflsRm2MPpiuFmlODW7n/TiWfjy2U9nWeZIK479esK7ncei1vtmE2Ht8RhfZpy5Off9AK+ERsIWG
HqU00XgChFL4NyhFDwdsE8NwnBlrbZHUax8DLgdj2MPoCTYR6GNcYyxQjigNGw3SbQ/Q8hqCe7JR
3a75wJa4v46iVe9XkB/bv0cMtklZD2vIm2ofNyyfUuJxdJ4cOpUu+TQ5f03HGAFn3Qw3wdTsCejl
CQwB6DuizgGhBpqK8mO0A05+lGDIhPeoM20rDiJL4u9OzlUi4IHT7SgP2H4xw3lAh6L5XO+T1TlG
CoR32dWIzLFj9qvO66k00C+HeJG6g0SaFLny3CznbUwneSVgyw1r1HLlsskiBtnDo1f0sgijdq0q
uCtOyJiw+XRFu1vlzw6kDJUl4+Z6LGP0u14WnJ3l2cyOVMUKRW0CJKZO0vh5TBGhFatXc52LdOXg
+jgeuueGQ6amINCbbz72KGikmR6Wun5Pth27RxVFPL7mItYs1yrpk2JENWzNx2FFaSsDCWqrihYs
NPKQmmmWb2AI0qxZgAq0OSyhZGMWkj1FBKNM7L5FM1wVMgaqh3oDL5tVXNXBePGN40v5DxYBKr9l
Nu5FnvaiSx77yhOIJhskBXVjtX4KIPB3x6S1RIeMgWy/ooBZD3uFRN2h5IBJvSEohG16OcHrWtny
rh5Js5/jlGzDnTKo02bcUA+9dFPPL4TRpr5P9nIAuKck3XBa5BoljyDYCY41NdPdo/8zBHOEf6Of
j4CLGZ2jq8KWr4PXNoJB4u7kOepRTvlIen0ZIY7Ep4hnZVqwFpGA6fsF9cMuB7/C2SWDFkuc3BCe
MCSXzEXDqQHOYv3qk6BsUXJeuiuP/doXMzOmO/SUyqlI4EjjumyadaiPyAZ7dVOmkF8D+LK/2IPB
LW0s2rpR23XpiJA5eCKVYgWUGAgWVFNq9LPRCh2ra75udEfM4kx6QpFgRLd+QmyXoQ4bdxmYhXtb
TJgG/THdlnh6EQ3r+gi5Q5w6Cr9biJj8bDrdg8/VoUPmcJhqxIlpHvWzuuKJScJ27mJJ5TM0o7W7
9UjtN4Mv3qRtihhko+MDE02/fYjwbVSU1bGj43K8qFkjIV3lvqb3yyWDvimjsdsQfAEvC4GpUFbV
Q9CxRbIyL5RjgacdalYiR6+FIVslVqvhWxOQXQMgF4QmL7NbownBgGBImEYHuu0Kt5pxvrZqXOQD
w+ZRIVSU7f69q9GN+Ny2fuyOaZUOkcfTNXSAFzOfmzcpwn2s5USJlB0NQqPppTYp8zJzsYJasxfp
It/FqM81sH9B/d99VXO6dM8mWsbocazQ8HmzXhJVKBYE2Se5WCfoGoM2Z+b+XGv0vTBJUkOPs0Di
ww/wUVymGzAAK+bzHT2kEZluM4tGFIRxJ2+8QSfpFtG15LcIi1L7dujbbr4WFfXjOVrglf6ZElKS
nF9ituMy6mjJepH46HYkUKd6Ey12abDHQYY+V4iMh0NYtJzvG+tAdNGMiPXd3gMXmEti0eRpaD9A
YmauIvdNcmvKd9RbbP4D/A3adb+Odth3I2SFrmF/9qaiAfEULK7zWGxuOYVxUPQ0o8rur/qO7+QZ
VUXGrpsOncDcEA0AwAHEUzLLAnNzR23rUlGLjtOcJEtOuW6jDGvujhsbUvQaGeQxjiQGtHo6NlGM
fg8f0OIJWQ+LNZmFaTOsmGvB0pPbFrWfTLpFZICkW+IXhZpeBa+0cVFxe8vi2dpnZqGq/iKqdNG3
CGwbcexZvai33qM1U/SVbCuwEwFIe2yGoec3ZdUP3Vsv8WBuQiI7e00WWOrcrbjXBI7mYWeP7SJ0
db21s+reI9FryjUnC6LlqWhHqVG2TqHR1pB8wWI2UQ7tDx5MgT6gkOrYAQ54kTAWn6BgSGycKwUB
TH3QaAXZ5YwAbMaDdaI18yPO6QGFZ4Bx0EpD7KbCW4rHDnKVYnW3v0f3pNyOK1byUe27uEUSzaOb
JCoVAjtOoF6XXNp4MrkiLefmqmvFxG73fgRFN07C6D75ZlEQregWSIccXWW2UGex50ygx5kAdEUm
K9eco7BhP+sVkvWPI2QXbHK8SL3GqGlsDObuct7V2uZKe98VQc8XRzln+T2by3Q4pyCX+9M0mIUW
1RrMcJtY6NSgRErQbx3DLJZjgyJ+nEU2jqMjepSuKXpZKaSdZrIGERLVDf2yCbjI35R71W5PkGRI
HWrvdTnv3+nAaPXVdCPpz4SC6ngmqPpOd6CXz+5dD0lqxDYDS7fbOI1s+DlMrDW3IVSRRYFvS2S+
K4QjGerLC3orjbUA+00uvVuItj53Acah5xm30BbLniRdDmw8R888TS8Y1VUeFeDB9/0KZ+D3xHeV
vZvdHg/XArZ3+2W0RQmug3IBzvBWpO1XlPkiWrRMRsZCrBX5TG4HzHZ9QGTd4YDERnpJ8/1s/IOK
5pXmIYriGYtFTjPoEoZdnqAyKFchkpiZerBi7SPw0hvRfF8u5+N3sYBnD3kDVp2nUYU4I9jv+rd0
nhOHtVcxPbnMSAuiP0pMMIoSNWlIQRMWAV5Dq6m8T2rh/BHbKLQQ135o1hfXbma7HXeh2Yd5W3iK
5GVql+sQxL59kEKb9eGi4UhPVi9lpiF2M2WIRqtLsdxsK85cNDAfZQhKXNsaTIN7NEo0NBgQG+8o
bU0dqlYMxpUpc19AXJ1kBmJR4g8bNx2qdvNUPwEmESMiWmHK/NQC2YhzER4b0G5UqyzVszBEAa49
EPSz1quhnKfRZQ34fmk2SuAIaI7e97y8oJBUoXiLgg1xX1Ct2Jso4w7ha5sx7LIONcR+BNsjg0g9
8s7jBnoozIGGLeX1JzCswzJni4eJzXSlV8eaNvcT9MMRhxK+sbiYaQ0oR/EfdnaQ542YvEKnirqc
ABFks0i6qcwhlEzfU7w7ull9XZmzqi+13wrp92Yue2ZaPoyJnQ+oFuwLkMpRGZ3/o1w2sgWb9icI
dW9bQXg7LtkeavaAhtWwFLwE+fvHEEyvlYV4SAc9DrY/EPWxTd/x9ccQ6q8FhVhPV7RrcF3aPEkU
LRr2gxSa13JCI9QaVdkIccQxSVBEUiu5s9it7Z9weH9HsAotg98ifVAKSxwQaehMRFh/Uz027kb7
aIQGop0NCk7J2sIWQKgpedwsSrdIsNqI5GO0YZz+GEJ1QRX9K7TRK2BZhRbN1kSzOI5wM+2LBsyQ
O4AHpxzxGtqP6MXJ8x9/0u+BqV5hQefJYqoBU3yEIMAk3rowlkthKsS5hcfJBHVSKJL0iEq3MPzJ
E/4dkOVrdaIW+DCcJgk7cglPDgfZmcOEWvOffKHfu/or9JmBo58VtWJAjuiv3Rw/e2nKP4GL/961
X8FDEaZP2lQlOwbYfmT1HM7N0tMfvPgrhJmLYzeMC2dH1KAPaKQ2WRmj8vjHw/x7d/4KHlpua+OY
avixIpHFmb6WWVzj9P+xq18+9Z/AcUlnKNBBeC7JrqHN6xRcJvfx7R9f/HdmKKG/vTifY+3N1mK6
1EIl3y1qSj4nPCTwFZKJNplZgMY+gSnEzA/Z89HXeja1rLyAjBA7wg6VfUin2d63Mcqrf/yFftlc
/8Xqfq1mI9pAURaq0qOWqkYFWg3Bo7mCPy8hdvw5ReSN/xnSeOBXjWnftXvzLsZMY6fSNkuNXKWq
D3Bn/L6tFNbNmRMIyf7n7v7z2/Zf1cv4+D/3Yf/+3/j522iQ7Fe1e/Xj39+NGn//+/Ke//2d377j
71cv4/0X/WJf/9Jv3oPr/uNziy/uy29+OCAud+HN8jKHpxe79O6X6+MOL7/57774l5dfrvIumJe/
/fTlu26GAknP3HxzP/3jpfP3v/0UC3WhRv/nP3/CP16+fIW//XT7Bdr5X777lxfzL9738sW6v/0k
0r/G8GfjSnCKvBgn7U9/8S+/vJL8FXgGwgksryS0eC48xAHOpzU+Of6rIAyJPUj8EItBVfKnv9hx
ubwk/5rwOE7wikpEksJb86f/f3+/GaNfx+wvw6Ifx2Zw9m8//UIM+HVKcQWFIRELQWLOE0ni1zJV
7H+xvdzra8S9V8oDo1Lp+bOzwLzAN6bouB+yFpawJQRycybIc43q0+1o149ATXxazHzP5z1cbfWK
XGVyj201oC/N46YYl6gpJmPTfGb9RyctOh2q+wjoEaKzcE0VB/p14SZHCJyj5vkn0PPfnoa/fDkJ
LgSgz5JCP/01/+pXuPWmW8h6L8eu/PnfQ12//iTIQMUM8C8V42/6f9wRq2iOxXpBX6OOnzXAj14Q
2MGNRWyq4p+m2D+G8DdDdmEw/TpkAv4rXKTx5R9wEFPUkn67v/2qJTTw9RuqYSIXevgAHAriYSCO
yhWwzp6vXUHgAlWIdbHY/VI076qpvioh6XXa4VOQNuITfusddP/uIpbsBWg1H6vI34xcfEnqImWG
F6j+wxQUzGlDa/CPhwldGmhhDqzxx5KSa00Xe4Yjl80dzD4PKTItQCjDF77un6ap+UzRWc36jrA/
OTd+CdpePQOpGGEJ54wzUCF++wx+VTCARtMVuhJZrKF+Zmp3NGN5pcaPRvMvEc6r5AIua8omS1f9
vY/qlz8ejF8+6Lc3IuKYJvT/sXcmS3IjyZb9IqRgMgxbAD67xzyQ3ECCDAYAwzwPX98HkZlFMrIq
85VIb7rlLauYwXC6O8xUr9571FZVU3cc7cML+RCN10Al+YNif3Lw6AWTln3DCn0y5bwa0E5NvzyU
Yr4dQnCfRoUjBuH11uibeyaxwSTqnRnZL4uMvuSztv3nhL2+1mY/v1jbshwOIRQH4BGCI+TXd+0H
XExVF0buXXm01fEBEt59rViXqkse2r48SNfaLxMXSa0+KTGe295EpJ1irB8yGAgy2p2GbSOL/diy
HsaVHvH3b+pfPl1epyscTM2rg0Jw0v36On9gUoYku68cWcO1Zx6Dw/EadfbUhiRKgFSqnmlhPcPS
9GWol3u0hk3f/lM+/tcqwmad2i+vxflQ76r/IpOERUycUPVSV/PeCSUoKe0//rr3M+nDZ+RaKt8m
FFnH1v9y1/8LRGN0y+qjqEomeg3+8JFvhXmvRZnOwCIvg4EhMDNAO7mx4vlgqvEXezaYYkk2nUbs
AfAKt/gU9oKZOEEZVksvSZae0Coyvw/daRuK5NbN1T7opOspxnJ2utbcSyucvEor2Gk06Cj8pbYZ
o/7kuMz8lIK5sWnW56xWoi2I/car3JZEhaPOmxIctifyUnqYsIwNAf6bv/9W/HrE/v5BWLpqWdxV
mm1+7ALwBP7EcVnMaCurq0k6QfpP+//+zWNiq5bBpeiY/KK/ZNR/cMMMaZ+SIf1eCMRztP0WachA
WGjjZzmN92a9HJgU3xmz/jl0sCmSwPjSMIoqRPsa2YtXqOmeuehD1zWXqcx2f/+GmH/9av76Oqkf
fq6if9CjwsU6z9q4BWzLtlWZf4KgrHo2mxuCuCIMECssosiYkjC8nBmY15+iJceoPy7KlWW2ymaa
amNvyGS4NIBCA6mP6V4UTriLass84gZLn/rRxPpYd1eYFpHmq771qo5ptaJjDylcfjGS/RwwDseR
VJu6p4xz5yl1km9KJKYdw4jnqZMv4Vp/Tizh/jKL/klfHCtYqByIhwwZRtOo2YZ9HZ0Kq1y2aZw9
/f179tcvEdWOMKl6uKbBiX54mtPOpdwwgKREIrzqypRDEBnOsHdh9U+bUt8pzr8+ye81B64JnQC1
+CiV/OC9DPpiHPt+eV6SyjhVzRw9xfjRvKyuPauYL230FtnJ6LMcp2IEwQU7dmUTLLNm8aGI5kZz
5+3fvw9rjfDhtRmG4Kl1MUpQ537okTI5MPdzIBfJPDvO0XaFFy3149//kvdg2Iff4qjY/FWb36Hp
H3FXP7BjUsMjSbpkP4skDULBjC6JiRu1/d0YVdVLVotHFqrcitbAioT72DbhLMBgr5iKJcXGbqcb
pxHxOVMYlDUhQ+q/f6kfayobuR2vFpciXwtd+4jd7CQRy0mAW8Ixy6lCqHuQTOrjCiOxqmJdjZF3
1PDELsN/uOxWeeGX98jGgW45loVDVrXFRyDGD/xNXtlPISvHVgJODgjVKPQ7luusEep/+JXvCPWP
v9PSdN0yXW5YLP6/Hhw/qDVuHe5yXWHwlVTTsWJ7JsINpX3ef0OtfKxj80Um1ou+6LEfKl/poCI/
VsryypmKN2kbB620/UQ+/P2H8Z7//+X14dvCRUKBC+PK4Sn69fX9YKiQIV39RbtQhNtQ8rgQ1LOw
ai3ZCUV4N076mxTxsV+sL23ZTNvOCj839YID0DLv9HF4k3G8zSd1Gw2Af5Q0uRmtdFfFwHREmSCZ
l98w2Dgbu4+2A0aYQ8kfL/g8jhL1zMunNpinvt6mov0+5+oD+z1x7OEImIvt0KyTxHDcDEbzT4u4
3hd7fngHLNoWZkCCZ8f9WN/+gLywz/2BAMXt4pR7u8C2UVVssQCQ02xaHKvVFGW+FvL/lNgf6fDb
TRe1d10z3pmN5DJQmGckqcmQouGCt1XPydVPds3AInfb0cM2co7ariPKx+HNrsttM1qaZ+fpmTHZ
GCRh+OKIsvCsyLkfDPcz2JaLFhlBmumHRnIbyLkIRmaoQHCXVwauVdDr9VXTJ8HAC9XU/Br30HmS
8pxmqSA0J16GrguwcwLULsZd1zH2UYBR0oNsJje1PUSMZWsWhr6ZDDwiiqp56qhFXpdPwayl0zY2
W9+YLMXjj466qL6NTXRdZp/sxSWh/g8V/l8uWcegXObRpLVTDfPjyfCDwGRg6lr2wt4P5b5mCPxn
WPQPIePm94/3g2Ly4X/+/yagqBwylGo/Pf6rSvOLhhJ8z+LkF/XkXz/0h4Bi/wbFg+uTQ1Kl410T
tn8IKNZvJFjeFQxXZwn7usb6DwFFd37Dx4HawsODAeS9Sf5DQOGPTFXnp6jx1o9U6P+NgPJOIP/5
SVUdZBiOUc0CU4WT9ENFkRSCdJ+LrzRpqH3oUWoc8UM0foqHbrgmafnQK41yVxgdM0USA9VpNjHc
CQK+KTM9mX3O02Z4YSyVHMLU7TcMngWmeLf38GR024TE3e1kqdMdf33M9GysbiJcct8Z4n4d+5bA
6OIqm1piHbJKs7yp3DF8qHUM5gzT22ejNPOX0mGzmIIrz2vDNL2ZS3GXltlwYsMGWTXDGp8Maakb
VS6hF+FyDVwSK/dl6X7Cn2T62kiktUjraWMpyrhTC5rCSdeToG0r2sO5vldzI16TziXYic69qyYl
Dfq+q+/NnB1kbcQwMxpbzIlNJ/bEgOodhtHxmekEmSU9zN6wHxbnwYjir47FhYclq/vaF077IHs9
Z+1hSLyE+8INzMGwE8qWiVsLd6T2JZV4CC0TtLpaO+551CY2s7FzrWSMimH0CytUExi6rjATr6bX
/VxSD9HBVSMJPCBdpdcM4kIdiH9otlPnyVGy9hTXGhWy4SzVAJOuhGr8/iX/v/2wX5JvpGzLt+6j
XPqLwvr/kqb6/nSvysN/llUvL0VS9c1fD4X1x34/FFzzNzoziFiOKXQN4Ci9z++Hgqv/RlFrgxUW
po5+uxadfx4K4jfLJZHHiYAkK9Yn/09VVTd+c/AUMcmlLEY4hInzX6iq7Nr7tapzVEvwa2xduEKg
DDofWjOB/bxSVCKNEq/9nmQGqwsT92h2IPWqLtIjX0TTQ+rIYmcOGT16vEyPJECV+0JLnpvIrS8M
u5e7iEn2CUsPkaXBvNUKHo10oZjWRjPZ61OpbnERRzWjpfAJfSq/dKlyaJvQ9fEr9acsbe+UItVI
wk7xV6FgtBKDLHx9yDDCYYXzMpkz4W4tejWzJkuu4KJfgoo014M7zw4dWRdSdc3VpZEmGhDANtXP
Y8KgixpKhg2pTbrPNcXebd3pPuvz+FNSVd/TRSlsvJ1G3fhTIr8kuvw6ujpucNO8knR3Hs1dehqd
vAtaw4QKbgKwUgqSBMA8riZBgLVVwvxOEsW6uKnYz71LoiQH5cTW6MkH1IOdrE4QZOLk0zBJ/OBd
VWeeUhCobNuxJsZrHFStkU+Syz33VIq8Rs81v+UrQsi3y6s7Fqa9jqI1V2doSOaQAoqaZWx9p1W/
5Bq6MSdmMewQQiKfijW6H4g5gh5W7ofezm6HzFJ22SjCIqjMUL0VI2tZPTMaY6xfhTaovrYWZWjb
agjdoEkNL81iFV9gx5Aj1Cdl29Vm3pGobIagV1jWuc+qOFIORM+yE7VeJ7chi3CJBk5tGp4WGXbD
NnYU9zQw633u9CZsDm1ttfHOnRPShJ2odZIKS20Fg5hZ4YpiP4S+bElSs0vTVL+R1Z6eCnY6DGxO
bsmJAIxYdcs879zNrMzuDcbe1PLyGrHX11xbDN7ILUPxqMnkE2ae5rKQW6g2WimjBLthaF7HUZFr
DGc5lpsuU70Ep6pnu8VwTTveardz2jmlT4hVKTzVtDN7M5oaWpNL1mi8k7hi4r29FttHvmEGCrYT
RWzMtGudbU9j8VZWSX6ymx5qB3nWptoNVt3ymZO6OXK1Ys4k8Y+Vzhrd23aIDuTWLOxpIxeaSDcd
ZIpgcAzVo+WINqZx5ajmp6y1byaZqQH7r3W/TRqyaWbsiUa9ZBXOUxA5d+ze/RpW5n1fWJtZwwqY
YHIjnXvJx74+yygMjLQ8WPHFyodqnfKzwjNa/K4p+cj0UUB7nfNDpKaYymDufufrjNO2ABak3uhd
ogQgJW5Vta62hEG9nCNq65LTD/invhnLbd5BIHD4GTY3fsoVXd62qnoAEZIEY9PAEFkN23orLZAy
yquJxHfv4lv3LKW9cayZTmVuKUoIqbNRNNpnYsm83ogfcmOIdyl6kTdmRrSv7Sj1LAvrrTtjHNJA
ymGFXfBTd6XygubHghR7NxVlvFkMIuBDZUf7wlEJ2ZRGgIsJqwEZ1DII2QlzURNpfXHn6F7P8iRI
HL0ndZNVPDJyizPeCTTD7vy+D+1vi7m0G+JoG9bftmdSJRP2ducQF1l4AE1xz9F3iaSIPKOe9WOa
ONsOHuksMxyss27tarfZ5ZXT75iUvWZ21HqTNX9nN9y1EY+lPyymtTVb50FZBu372Dnp136J3n66
nf6o23+eyNCu/3LcOyYjOiYxtNRry2bbH6nnBV4mZUg0d69EKMQxMVyWIGSFFkRYFK/j0uIpUZZe
QKEi8HJRyyn5FMkyBFA3DFQ2uTXGnJOdxVNnlaF7I/WqdzfRlDYz38vEwcmupey6QI2cn8qm0L4N
c8jzrDXjGPp2ldkYjvOlsYK5JCKOwNYMx1SL+3gXR5bSHFgUyWFBgPY0zHIYtuL9NFHeT5b6/ZRh
DUB2mvIpVg59N5Nr57lEP2yagkQe9MitE6fyrpPKbKNcqfahqWuOqdGKvukhKjUmmG0FWuOchey+
dvG290nCpymHs8oGopNQi5Mu0/hkhFJupJ5Pfqq7cZDnhHjwmFqEY4y7Jdc6TGRWewZ9K3Y1GxwY
FXbC10BtB/kU7gji6hAk7O675kCYaYao3NRGnPFdbbE279pU66edHEq393Fxzbs2XHhaLFU2fLvx
wpa+WRGIuE/mVhtPcy1zP5OjYAsNoJiJJA0LdpU8cN2oeMKWv9xYIawbfOlXSdnI0xxp5k1vklv3
nDAqPnMotH5GWH3LMLUMWPbZJHygtbweqt55jToq06SQt01W6kdc+0VQRrnULqqppVe5C3/A6zD1
rzCTfEnOuaNbpxh+xHXh5MrOHmLzmxMOyg5MTHcTArLxSjuKvoUoqzOjrbpHSOX0GoDJXIeiV28T
SP9BqYEVIZi7V6c237So84T/8+YmiymDE6Hvsrycd1qtHbntGs/uleHkRLUTWFNTb8aYze6tznYb
zfFgbZ2J8X6Ko2Xa8M49ZxHXP+SEkH+JC4nDiQdPr7SH3O1KP+2nfWMyBkgzMoST8RqpKNNWrXyr
DckIBZMCAkx3NGwZxDhzM107AQh8DhEVnJpU6EDQRLMIyLpXCNhkPnHYb6elfyWor12ltfG9JPV7
SfvKDDRbbbbOpDj7UuteiF+1x9jRBr8FRPM6u+54HCynvc1LfSbZIbCZV4lDrDd1dgMIC4pFgVhv
vA5m5m6VvCFSmEZOkGtJwtRO+YxPJNrBeNauitq9SKbccF97HVqoMmMz1Mot64tCH6534Q2iWXwS
Hz0A7gzsDaeVyQq1zqkCqoRtWbXdBbxSE8zLPO9AzrR+PpERi8LpkmlactBzvTgr2mxRfGgWu6pt
7TYVRXsjimhjuENyUDon8yMMikjshZ0cmVzpo6crmfm9DbNho/da9ZYOkeNxfZdbs1/KIG+FDuBD
508TWCvSSOWOQZrkhu31+fMk7KH1rGnWn+159YgODQIRWdzuCc+rSttHjueNtPO6cI5lUz4LWzqL
PbYTEVGl6WMy2QQXMPNzRzfrbZ2+X9zV+yVOiIQL3bAzGBCEjrnoh/dLn9wIBQDOKIqB6b0wQKak
SLDWeiFeK4f/7bb+Rw6W37stFJP/3G1dvUQv2Uvx+m/aLX7uj3ZL/KbTy+A7oH3SGbnTOf3Rbhmo
M6uQjMcFrVJdDSZ/tlvWb66+SiK4OFbFZe3R/tRgxG/AxS0X8A9xdf5K+79qt953tf0kwjgqBhoW
8Diu7jqOxVr0XwXjxWl1hk8yPxA/mzeF/cI8BQ8py7muYnMO1wiuCAq4GyWosgB0LuEedcpeJlPY
F8nj5k2ts5MCy1ZcjTeINbFnFs5jZOZuQPLFnkhIkkaHZOCPrNG8HRqRexANWJlT9dl9G4OWkG7T
7J3Y/CxZ/6i31mVul85zRLKJbZl43RDe9srExCc3NmpKO4DN+nECVgGBysrQXMU5N2brxU60bDek
Lqe2bnmp4y4Xrvbc7+hYvCybpTfIdt8rzrgd2VFLtNTZkvFAIaX7Moj3rPwhzQ76qFGC0h1vkfH3
fIKvI5G2scrPYN82c6vfQXw/lU0V+Xqf+IC43qByTEeixXJBY3eWnR439wRq9esyycvtsCjVbrKT
R8gt1JfjuRe8mW5XGWcJ44sxWnplFt2uVnDvF1V9MQTWE0ct810ydd+IDi1X4VPrGpj9as7buO6P
phZnV+TFniwxB1ndbzIT+lxu1r7mFG+dOSyBa8mtRiR/cizwc/IBvtMhrnI9aECrBAPhBm7SKFAW
uVfm/lbRxbCJ2nZ6BKEmDoadb6pen4IkLTeganhr7Dra5+AX7tl4eRev5b2gpCEfk20nsju+LHPz
WhgNCJi1Wp4JxvqkA+TO6czQz4QjDrq7zA9GXt4ZaU3DwAqtHkkqnu/VjGKD7rOrdp0io+vJuri5
eDRUychLWsXN2CgKZhmKWpWeSU4BJ/VzlM1XmWQ02/WTuSMifo6a9qDQgahL9DxGY3Oakg3wg4SP
qr1qmu4tLe7Ze8HVwmwPUbrKCEHO3DbaxpxIoAw0wrVLzDEkPgvwtL6aB/WcCka3s114jkNwtZ4P
U6s+hvmTnlUM/eMcdpO1/m55qFXFa8A2POpJk/jOPKDcx57ebgtQPX7ujNqupnplMP4Cuys5LZr7
lkn3AkLKM9X8iC3pxugcfygkjYl+1yyx9nmAn0JjWCYbs3ede9cqtkUY1vy9M/ewkTfK9RIb4kYb
F3RPl1UzBfimbxXCxKlr0qTz21lYN1ltVEcjbOeTNBvnRRACYH11EZ0UzXUOMLv6AySj7FmS/xl8
p2+Tc6zH6iFmje9+tpvoAQ4NERwMcwejVOfPc9qW/lyP5U3MouqDbRfZFxaW2feLmSx+pqYp93pB
VWaV7qlaTbHkAFk+pGnRoVeW6UIYJn9YumR6ILzRs92tyh/zZm639bASaZrKbV7ATtpBrcUDMCFX
XJAjq3M6OOOt1hfGldCW/tipjfZZA4W5saNy2k6la53qzEoPTezi5W/K+LtBbI9aNJ+b1ypP8cSU
A+/60o/JRSL8nkWYdacMzqEG2Y8O03Em9W402Aiihbp2ztMyfpz5sMCaiebMV8U+Gyz9PkO6wxBa
NYnm9wwidxqktysmIsTAV6ECZhiaxU+3zL/pmlhS/peuyYVtZnMLOBaQtXcb0E8u4DQl+Wu0C716
FGVXldmUw0G2Q3tVr7CdPlSnoKJmwIWi9QH0uCUYGZduwELQwXf9ozW0yjYz5pqnQLacsJjvAhEl
Ks5fF2KMmUSfu7BHZCBFJG7YtCpPHWW8vdbzcPKWm8picaMJ7O8yRyvwr44fRYiI3WBL2rcTsd5B
Y+9aPIuHpoljr+/H/NrqCYoF49yHD9U46srOFXO9oCotdRHEBX+xp4+xW/mWXc27YonDnh4uHKad
CptIbgZy5p8VLa6xRq7NiyAd9GjY8A5bHY4FadctU7u73lZ2RUJaAPNvUBUrB7Cz8bEC/tolOZWi
EZHxXNulnr6pmrozhdN92JAPrUq186BXHZUsQSkrwmQDGQEmp9IvPmvkZ1+L81O7mMMpbMqzzfCX
y3LGAt9GJDUTuH19M29y7DxevTZ48SDGYzGM6IMQi1A5LHFVzpLMqqtlW3ttDKuFmWLVRyRil9He
uYRS/X6BRIVQiFt0rIR9nnvZnhOhuJdeqPFjrEb6meQA62qEq96VmqXexKmhE4NLIMzwWU9nVg0m
Fype98IAhu875JP21YYuY6LkGPH3PCNbODUk35r1SZnXZ8ZZnx59fY769YmCxNIfAa4aV6lSTLdV
ndRnUy24n+N2uKpGrsoCxNsLyFnsXETg2m26PsEEqvqjuj7VoZ0WD8P6pAuN26caWD1Wr+dAsp4I
RIatU2ViJhnqYv0e1M69s54hyXqaLOu5sqwnjLmeNWI9dbr1/FnWkyhZzyTyQOohdbTkXEQWR9bU
Nflz4yz9gWyTe6hgPZ7YvEMmns0fLzLT51MVKtVRtVL7BnwOB6PLf32iALG+YXSId6ihMHuqxLrh
v1auMdRYNNCzuUkSywZiQ1qJmGTYOBO+e5cKBVMb/2zHBRqFaGbLcWsn4URWuJqs3Gfg28x78Hj5
cFXAcvVVwSJJwCJuuwT6ispBLHBDeSyWNqqeSdECZ9VFWnX4YI2025cRbfpZz9Ro8so2MRkadQ4g
UQKn+NbZeeciCkYKnhgnjueIbYTAVTf5IhbuayEW1W9MK0dZK2S5c0CJXBtsgbo4JA5vaZW1beYa
yEjS1EB7NSL1jSXM1V1txVm2wZvrjH4oS5fNF1X41UA5HNldlqGNNvbC/tw+Z8OfP8Bhy8jtDuon
pJAEi2NcaJwt8GVcvmL0yufG6PS7tKt5X4r61g7nxV/IFG/UdmYlqV7sW+GoW2l3j91wthbG11Go
XpjyVxcziVU0EiX0qVHBpTZJ6Ks2OAgtnF18dGTi8rIaPbgE8DkG+aVKXdJ2cvymwQf2nYaUrjvr
N6Faj1dlxzNqtc3XxP6KGc89QhtOOG9mPRg6rgGjrNn3bqs7Oy5vTVe7gwrrBlPm3GjhGO7j3LZ8
PN7qpq9N+9RZk7XPgBz5SQKixlHuQLdx5yWacVa4/zfqUn3DfAcGNlKY2q/sKPAfN1znj4tWJW/C
HAE2sjUGMbFcTjIFKDGNZfek4QwEIlDPb26p8R3swWAYPhG4Ve54lz7+t8/7n/R5LICmI/vPPZ6X
xC/Nzw3e7z/we3PnOL8ZjMGJe+vqr7M0Z23u+L/JBqzjsvfR+5/Nnf2bWH1d1ACubukoDT+aO5OI
Ak5j+BVAFmztv0soOO+Ly35q7kxddXAta5opaCb5K/mX/mxzrGmO2sLNjV0VauaDjMwl6Oe4OE62
3QaDnPrdwB7bOM0nhtKO8zmx8/ysMxCuPbS32twVrmYBizDTZ+xAyVUxLNZFcwvI38TmYtdrgdkA
Tmos61lfRjK6IzP4c5jGq4rV1cUhdWdrFwGmfXYNq3xbSrt7jiGDUDsYendt2cp0ozoRvJZWVXyz
hjEw4hs4Ts2g3/WMok5mW5THWWtt0tpFd4iAvEyBpivGs2Itunmqulae5HqKeYljFg+Iawt3QmIq
J1Xyi3xhyoE1T9ZgAVbO6RtLSdBUKOJkueXwhTwcopBUoNv4tT0nT0CuKO3FPLpb0rv83UY5AdXM
JGmuKFv0VzcKoV6BGi+PMAKjrSCoe7WCLDk4wAac1VwyWWhKt/Xy0s5hFVpGc6tUcFq9vE/mWxfi
w3YAC3kpHDMdPDXt45R0rMj766ib+zeI58od7DHqrywJx5dKEzkQZiUcQH0qc30VT6nAMaE6ebXF
0qdwJsVDetuijx0sMiLbfobh4RU1yJ50TMFh93Z5hhUtDpLSlJXBJipzbkt3r/cCE9ZkvMXdKoVb
sVjLlMxs9lJJ694rXbVnmNmpfLok/vXUAz+QfIGZSs2w4q7nTq22LebRe1Gq9nYwjOZ17rIk4d0I
+12vSONblWrjZ60brKNSyegk4ra8tZxZfxzNormATpPCj2fVVraiUiWu2n4oci81ZdT6trTEsY+g
EWXp5F6DB682tUgLBsEYNI7zUNgQ+yXAJVBat4uo7JMhlXGjWb34ksPMechhLd6bq5S+Z/07Mu+i
kP3HSaeC/xQTaqnlxteVpUIWx8bQXUTjGGdR2zpDULwfXhiW/aFvFz33ipG3FJRCmu81xZW3SdSP
TCbdYTqHY3ufq0v4xW2K9KikpvmZ29w62cqc7SO90XmbSs3F4cUb5QkbjwZ031qUfkF0nQC7KxXk
gZJyeMtlM9BstotxoKxn8bJhtfommYfmTikxeTl0rOrIDExU9ZeqykMQKWUe1N2gPNVmM/mNWx7V
qVe2dh9S2s/mdZfCmsXGuUVsjlnlZz6HcbLJe1rTsrQba6WdUd054yvAlm+a0tRXudXc10315iZt
6IcG1BWXYH+F/tot5nid11FgiwqXi2QSg9a1LRP2HKCl53zrLduerO1Izr9AWWkdLzGn2evKdtlN
kPiZmsteHBvQ8KNqkJMCJ2sE7tLlZ4ckz4bHcHhkPF5cFJUkCpimcpfRu/S3WBXDCOJK1jhUyEo8
epEyOV/AgqaF1wHxWuvAKP6WFpyJAaeJPm1K4NXu0cEvHe+IjbgQYkSmQIl0Rl4kPyRUZpYRE/sJ
rphyHkUHE2h07PQ1MYoeUgp4Ofb9CL4W3bTDAmzu1MFUN2ZUgyqmGPKHUVV3ObpXAkE3DB9t3lq/
7+A6UMGnWzgMeROkMch+YBJRvSlk11OlyOVC5l29d9DIvzhabRlYSpvhBCeuRIMJ05tQd8ItoLnk
rUrGEGd4CkzWWzp13o4z2aGEPnTyFp1FAoUx9J8rM1P3NdkzWLpLmuznMAH1ApMYWjID/EuDaQ+S
k5vs3TpqPpl6I/g6zNADQ1yMeVV2aEnFgCKjNZ8UYjhHO69pFQHk2ru2rzueh6i9kVLtBwLZZv81
mgri57q7XyJx0tJ0PsN6zj41etSeomja90uq3PfVkB5k4aR3ID6iawue+LWupPnOKQrjpi7OVdId
8mGYb+gckgAK4/BIzG/YAg0o6KtQnw5LWilXaluo1Yl+fr4mQpOdZcwJz/TE1Y7gtD6Hrtt9tlnC
/lQnfXnhbU5v83Qxv3SiwMtVQ6qo/BrKxHUEyP3MPlcQkHq0tIHsO2MzOp3rU4zqlzhfChrnsEd1
cXGEzIvpx8sAoEgZoLYpA0Aql/n3/TKyijRb8uU+XHAV+CG412eHCQ6yGRnyPDaNo40QaXl9tlSM
WKR8BQ7fH7Sh50PKoVrdZ+ATt/36u21KyZuOVnIb5em817XK+qaN8byzmJlVGyfXGaUUWQGxRpvA
+pkGgTm7jbDpmhHy58h1XzU1OCTNAomdjne09IyBOyWiA4BKe0CCi1irEFc+JtXsWSn65bEDSnJe
yOemnsYsAkdzWPd+ERsaE3jjtZ1VUnEoCV/ZUcXW7aWU1eOkDbT+BJFUJo11Y58nEkcX3Wlnh6Gf
jgk8fzEIEfM1TuUVklN0bVQt7tVwYWbl5SMQZlAnAB8ALhvKZo6K8tZGj+0OY52Q+NIp3rwJT/VR
bRvrCeTF8MgO8demL8tll4Qt4L8oM67ppqLvcDqibWHFXYHsMYGibHFwe0hGeO8yQ3/CKDE+IMOP
LyFSLIcucAH2TKQqbBhbiurRZjb+HVZ06vdGmQV5nECug7zxOZYo+/tG1sZ1V1cgNDhEpwi6h1Oy
+HOpxPDJDaOvgIL2PFrOCTOd3DA3WjxQv/ui1u7Vhc95luV4nMGBiLV/UuF9ILGNy6FAv9SBnPKQ
7Hs3EaepkNb9ULC1U2l7nZU0bndwYgb3nqAd/gqQHAnB4IMimH3QIWLsaslliuFfkRgyZBYUTLdu
o5DvNDhGrtbccNmLEo6PoOHZz4Ug5oPQZ6Zpm9NjCu8xYAeFYPBYWH7VZubGLoXyQO5gM5kz6zZU
3bkdW9jvDZEmaEeJfNZm1jMw8uo3zVBUr+B2093Irs5NRLm1B3bqfkJ2mK9DzSpfh1afkNyBNXmj
Zc33jZnUe5Z4U5jo7R7UZXyOy37eAm2vv7AKcTlNWmm9wedj3UIoriu9SU65wnVf6LX2dS5mFt4m
0tEhrA8tTeE8IKVmjNlYrdKm01sYquN5mfHYBFOuAMC2Gg6ScSq/gl7XN6PSAsCDaLcb85EYGGs5
tqxIcLcE9NLtIu3qQtJrVZEKevjQtLy6nV5za2lvkqq++j/sndl23EaWRX+o0SswA6/IRM5JMkmK
g16wRJHEDATGAPD1vdN2V0sqt131XvVQy/YShUwQiLhx7zn7DJ7Z73TYxKiqSYrxejpE7uzkp6YH
xj4PdBMtIJ8gjK3bYjSKXSRZ1gE1k/5t5lvhpjhckzfwWO9S928ZSnebsu6vAQFx6t7XxB6Yq0YK
nU6/dmRNhHxpFBnak4Z1NajnqUpXQg0ZZYTfLEcXQuzGJLjhnlOjKV4heHruYYy6iYAHScaWrAvr
kyILuqFtlvoTm1SznVSvf7i2ipvDQpoPR3ov99/HgRboZmnZjTprVA9+YbswaoflLDrtTAiYfU8x
OR8yP0sCU3T5qWtTn2oOVCsS+SydiSPRuyhQrW0+FrnOyKCjl1UVfrRWfXY0bencsCL0KDri8uTE
xgijMTbTF8lPnIxSI32NOnO5aXvSNwMpgDwVVNYPdYsUn/fVHqi9gLS2zTxecoxSNDpxQ5wtTe9p
2TvVYsCns8QaKi9T40mviodFdwwS5GBvvVZ5Up7MjjCPlV4a9o1ZU6EAmGZOS7FaIgGLnfoOSr3t
rLqyi5DT2Yp2dt608RLGi+A4n0cyeRZ5oh9bKVHNJcg8DrFLiWHh663zorwZBXEjJFKUZ2N03IvH
2MKkACPqd5WVVfkO8FF/ixE6gMPM3dch0Ye95/mQyByHkcuKjiczs6gCUgP5Dxs8gK2pWms1UI8w
WpT3CKoe5nOL0iWc0NbgLr3mMjQ2lGC/QNJMRvZaS3x9NWdRu2XV+gaaAsOCARQv8axkW9B0R2PY
bxMjvjMa+7PRx3gXVbW2nzBDrvJS2wuZ7Cw7vVlqqIqjI8t1kcX9g2AcEwIkI5/HJiE+x9e5Kqx8
q12PGK5b7rgRywoMZlVTG/JJDo5dfYqZW5LG2s5wJmYg6A8DjsjXkAlfIxYmefZbVawA+DwSJDgH
ehF/QbjlBhwH1QbTxC2n86v7zjubRtesS6HtzBQoPoeRNy0yGdNkgFDtK4gKCBEYvq99bRxjwdHM
7iCK9aSzrBfVzAHt/H7v5uUSlkofA9uJlnWUMgQ0q7Ff5dbA5xwZ2Dg+WihFSCWgacjX07dybNbd
kOwgySbr2qpul8HN7xQjrdBJxHLm3bO20ozQWyv8rkrNLXlNDIEPGREE95H08q0FrnMVN7TxGjEQ
7WSluEA0WZmbBX4WRak2j1sC1aMLtEg9WoHCn82V5g9eE7hF354c+sEMHgvur9cWLvx6DeamaY07
S3Ojp0E3hpcuq2S2StCKchLrnfQ4dTN81MUYx0uB1TEJnVj6T4VVTt96M46OHXwxe9dGMqCgsV9i
5rMoBuEgZysdMNl0YISd3jsynsrQMU2gcZNgKJv74plYluIBvCZdOI1+o9hqedEdkHv11KAeNGbh
jvLZsvoHc+ZRFL2HszO3jywwsOJT6e2mgvgICSKwcZQTkiZDNFHnI5oR44cxAxinOhXeDYxpb8cZ
C2VVImTxOjPUxqGDFCmo22j8ypuVrlJbwiUuy2Rb0p/bToRqhHbKEc4AKXvIFmPCeEuXgJapju/F
aOWRzDAaDCSYqCdEj8VrTY9tmzr9AILV7dwvHoWLBU6K9MkgQgmy/0/37V/pvukMz9E2/P/tt+NH
i8Tix/7bHz/yfw4XX8eMqdPpQr5w9VH+4XCxsLGYHnJy/WoiNX8Qs+sGiBAPqwKmPIil2OT/0YAD
EWKhOufvM/i7ru27f0td4VwtLD824FwE9TT/hCEEFgvT+UXMTsKCpvJcz8NrPrUT1ezwA0ly6YoG
yHCqMhIPIjEYR8dc6h1OkH5fl0hTSR6i740yon+2FP50YNxJ9uLIVtkrIap6jzwNHbjv5Z4LNquv
NrE9ercA0YBVjY6j0lNrN/V3a7l6/lHWtodBOEOLVCEl/TW2YNusCL1ykPdqVO/kx0gG6hl2oDXh
OoSlSBv4tzfSclx7ZtaqoC/MpKHMmqbqqLTc/SI4uuZhpRP8w5QBeXXXtMPBS4Tz3CzKeCZzmh0q
0dRtvfSYQceFap1BYnwYdc+hiMwTegJeMfgHQ2ez7yqy/oJCEykDOKuyxgP67EQQfRa12sEB5Pcg
KoWgLefkSszZjEw7yGPdp6SkQVutLeK2otvEpZse2snCmAY1AuqQrlGFunXot6GSdSzArEZktQWj
vtxygwTwKgx0N24FdsxSfqLwqk8G9JUuFOncnhjWCXtXJ0jtV2BFbOQtjAEfFM0gM4hyAjQ2fY8M
dMXEMfPXyteg8wImzL/nGpkb+xma0NWvm3MB8Nzei0i77DYHLrnjN2M9Ci8bOaJH801Uox9Htcva
lvpZO4UAlesvhmmS/7Ng24m2Tsw+KlsAeitrbKcngYfgkjfC+S7Iq0jDgZZXSY9x4tZ4sQcFQWVO
EQ52Zzw3Qzo8ezGc4Y0q0PUiLwFhsLJctzlm5VA9MKPiaJ95DWup7HVN7a2pxyDEaXaiXOAKa7sX
YxkyNDXvM+beO3AT6aUrrb4ORnpA33WRsJGRYTMT5+cb6iYrxuTo06pZx4PufFhVwpwwWuw2XkWj
P3ELosXfW6OWYaG0UyNaD67S+XO687VxB3NADirMfIWEHtGrU1rSoj9sLHgaJg3HFZkWkViDT1yw
AIwDMNAqTtoAUmh36Oj25GtLckgD9yhTOxASZbijLxN5nItdRYCvpemvSpkj7jC8ZtjQJveyjSAR
6FLCkEWbOedqk098sYDBdKsHHD1IN40NNuGrwOB9SDm97NGbihWq26FdO0VWVw6EwcRjazP78sH3
SULs3MHDLkLCB4EfQYfF9EkuPlnyBFBVQ6voh9GFlEdhMASnStkVM+PmnehE9kQkn9ha1byEbmot
p9jvgKomkEabyYgaTKrKVeeZ7rh+0du0fmoVjTSORTvdHtWw8lFaZgfLL6uH6xC9LzqqCwKrOmLt
Wp4UQI32mSYvWRO9V3Fuin0zIbgCdYp8M7tyORmjPvqrnIPncEBGi5DatrxGWzUz2hgE5vOVojsS
rNUC0kFWgYo3y9O3iKS5e4X8/y0vVCPXUJGRqaqZ5KrblHkpw3RemWHjcyIQa8VMUkNn7Pemt4cQ
Pyy3JpmVy1nTtOypn3FWBI3JXGKD1GfmJGknxoCFBsW16QVRh7MjiAHmbjytab7VkzzSVgXKS+Ni
IsMiQGdnrqQ9YJG3bb5t8F+29GcxyKEJmYDIu84YeyD0Mt/8Z3P/VzZ3F6U62JG/2t639U97+z9+
4o/dnXEY+6fQdQSUDkix/9vdzf92bPIPQSNYV33kNU3+j/Gabl+trQ5bOF4k12TX/cfurl9rAjgF
WNXAk/iO5/07uzuSzp/29usHE6C/ELRQePyu0flBg2O4rNR2oVSYxXg8J5UsGO17grL1pA60MpsO
P9yZP1H9XNECP9YSv1+PCzLME9yPq3Huh+sVMUdWpxAqXKwOQK0Vf44LesVZoYz86ysZv8WS/3It
xu1w0nwYB64tfsEIgEbkZUkSFRr61X9HcDwt0zjR93TC5DmP4vE8ECC4LWByruOm9d+doh7vumrK
9yU5AmXQaDkC+Rk6WZAPnZUz3YjbZ6sg2YA5HSIY0m50qhKje5vVYkerTkdchNnOS+iILsWE4NKs
P7SIUBnHy5HIY4AdNzhYG/3YWy0pF9fkH+RBSwSHx7U+SMiow85T9IKhpQ2fwwSzKnbQ2ucVdIY6
KpY7QKI0YvqG/ienL/qO9OcvmbNox0b4Ytw1gMnBOCc+H2WANvxMgblwRk0aElDSGJdMQFCDa5EQ
qblbuZh4YEG+a81q8BUKDdZ1AyOvO7afILkhjnfO3o15Huj0EqXrVqdqdh6BgOVynUPOOCyxthxT
4mDvpqk4TYnRh5jhRiyP8kUrEzqEwrhk1lJtq6sKaAKVm/pkJTV0eFcmSOMT8Z4J3Gxa8cSFwKrR
/SJZaw4+qZS5WqhrE7OouXtJKUbBMliQpZu0Dpi8elho3Ju+yjJowkwpk1yuTFrKITIjpFbVvM1j
47qjMObV7kk2XpOog+KdpOkt5lFrXSCxMWgZsDOYXL5F9yn0+LPKUBDbQ8Y/JDOHcFXvkGYRHlyg
n6SQEmvH4uKGU4r16ImLGiBgDzR3VnoVf4sNDGIVDm9Cy95UxKOud/ierErbpkpcapJ/vOsdzc3E
X9PEfuh1FPnQp98Bt5/0nGQqslRXRKRuhSSYKAWTgqbYvDC/Iim31N8zp9yQn0Iw39Bv0Zd+CoNC
GFnxi82/jJF3QybuJ1XmqezjQ8zscpWP0RWS3TzErbPVbLCe83hMonzbm9opKRB6sJXw3E3XxLQm
apr4lJmWEpTUUXfb9PZNqtUvpFrD62NwEZiqOAp/+nAGma3zifDdnKTVoJ2QFfkxkp6xV344mPQV
Fw9CdepTlA2Wd2PMSXxjRtMbcbvPU2w4IZ1eRocm02sn0h4jMybVCaESzQDsLhpzO8Ol/Mwj7AJO
TM8zr7dOa7zkwucLRFChIy5XKHZrRlqw93qSqEx3hcAQVBGpFqXg0g5iPXJFcdS19MJW/GIvSTn7
q6hWc6AVRRdEJS8qPbTlsSe7mO3YfVSCb1q55WnEqIe2VdIhr+vwP5vrv7q5GuZfSle2JFuhjv3x
8HzdYH/7qX9ssFDaTHAxxDwbtG/4+34/PjseNgNbMO/5Y4fl5Pq/+hUM5LphQ5jkBMfh9upo+F9z
gvhvXafaErplGL/xHP+dDfZ6OP5xE2KTQ9/FaRzMODu9+wsfwjewY3VsBGFvs8YFC+KG54TG4d+Q
Z3/dxwUqWioJhDiug1Xjt73wh321Y2STqRiPqoMW4+soNG9DxhMoqbHPx21cynH719vrP0GErlfE
u2F5QghyiLzrJ/rhij4wezrTkRO6+uSXzJgES/igJYg02amqNYGS6YM3uNmuj1CzKkEYCBzn5Ws1
m/pWNH52IAXQPOiIpEN4DdnBnwt1Bti/nPQpl+e/+by/Vh7Xz3uttGwbMakr3F+6GBnD1FlNSD3y
qC7f1TjnSDV1/j8no3GdaawiKibYiY29fm8Ztb8Pk6ee5jiTW5uQzM+YJueXikQesmuX+vOvP57x
z88JH++qttKhZ/NM8jz+eDuhgwuZoTMKB2j353QBdEML8Gqu7VRynBkc48XSZY0S1JxCoYl4B0dg
gs7nertrFOuzMcfl7TwlR12Xe5FolylGcRNEzEIQZDRj/mpaDsY3+gZ3eBHrtyHWc9xtjbz/6+9i
XYu4n595JN0urxD1lQWG5ZfCy0sXFLuDaeO8KJLTjBBlpa6B72tGq8lBtSnqwtIUdqjVnXqvHFVH
uFcrn1TkEj7I5PjaZZim/hVsqakFul6hXNfsl4mxFja+s9uSv44Bbly5hRbfErw77vs6AXEcZ6/S
xlGQRvaLb/fmTU/CZ1VdM03TcSdnp9znCIVvgHsgAtYiUFFGokAnGcStbZKSMy99f5eAIw/SP0kI
51aK5N1zGJoEOgmWR9tp0DqQphwHCavREbscu0dmaH6/rklufvnre/lPRSyPLeNcm94fJhcTXd3P
zwXppERj4XsI9cgsb2uCjIhMRLHvGaRKmfqnlkHFHOZ0utoJvaTcDW2hPp2maN/IberPTaxGxLiN
4RKcXhRrV0PRHVQVOc3MGuRdndTdbkSdMx1jWc7v/qB0VA5RffSLSXvRzTw+XbXd+AUlsIU5FtPJ
yzFy94Mj/ubB0f/kJeDNvC7uwHptXoVfvqwn5EiwiRNi6B9v4tIgNYJba+0ly/qdNjv+pgGODOi8
WC5t48VHU9p0qnD1yp2OCeoL4rD5g/mu+P7Xv4c/WV89DiyYb/kfucnX1eWH1a6I5xJOh7JRVhh4
Vdr6Mxmhbvb5tCY27G8OSX9yGziQGQbKHtPTWdJ/vljN/qC8+ZqcO3fui2DcfX2L/46O/CcL4k9X
+eUtLTzQbt01Ni430/RDgKFBoF9p4Cv66u94g3+yItDfZo9mR/U48v5y+3gkMymZzYW4bY2jqZXL
++I0zslqTXGPl5Rlt2I0x6mDzvCdT0zH+q9/f39yS+mUA2bm4GnTrv/1lmoKjVli22HRu+OTrtBH
T9Hi/s0ujG/x55XP9nQKBxs7IqZGAbru59+cwZLrzUXmhLiB7yV+DirPeQtY8zJBTvfT26kyV0Ch
3q+QoiEpcDzpBXKtpfaw5hJ95Q945vrEQlmIYmjrxow67em+MyT5UXBkQskBLhBDspcWE6PA9Jd2
Xarm4wri+Otb9uvzYdNmuMpegE3717qKFsSPjzxkBpSTTuuGDdvOCgGRFzjzGK8Xp9b+5rfzT7cN
M+h142N8jaIYB93Pl0qWyKCHyIHNLZz4EM1oSFyxjMe4rYqNiQBzx632/+ailIK/vtUQf1hvKJdY
WV2b8uzn6yqm4wBhVBSOhXrkPFuHZuy1mFcm9UKKK9kE+gRBJ073xNa+QjPJNq6ajW9ZbOhBL5Ij
tQ9Te+YXZuTcdVJeE3PMKwtMbgtoC8Bj0tfI6F7rUd+mnCEDlEsd/q0InUtBw9lV097OMbO0bifu
fDruIH3REaeckMgJJJotFbPYtHpkn706mtZ0+E8Sx/fGpVcT+JFBkKMsL0ODjrlqYskLdD+79JpH
djrLeyA3abhdnG+WXN4rsXS31VJihbXt+AVB/3CrNZmxURlMw2jJoCo3pHK1nUtThHhYwb8X2euM
gGU9DWmFz27qxnejALphJRZDi7I3rdcpNUg9EuWjlONd620HvifGFv17lJIaZROyF6QaaWV0LNOF
GYzdbsBgMHZJfcnI1C5XxoxTF8hIfqdPToRMJGv6UKdjEODmMz7ISPbOJaOPTarHOhPuHOiFr49R
iPXGLYGOmPlXVDsqTGneAKsHWF44DwxQ63XfkAEFZH6wIPIQCX0kiMe6RMnYoFFDcmCK0K8nRiMV
ftfCJLIXfBvyF9rr/Wz4n7NiIK+GRzotHxnV5VNqIO82F1K6iHt/LpPm0MGJ3HQ0Yc4RjYSnJsvM
y5i3NhFlsi75uwpE1/7iE+fZXEp/eZpi9BJj7pJbJmk2J0MMCzz3Jkw6RCfettOCOBP+9x26y/Id
IVF3O7QAa4IoiT+9sfe3aDO7nWAgcKGtoL9UjSyeVWpu0QnWeCdpQN3VdSkvTLBptkxIk0h5NBp4
MNlI1GW89Bczmocv0sDb0hDe+IjtV24lJMYbTWKQXSagdTmF1s2Q4a/MGA6udWjTXNmRNxHa4zBX
EwYShG7fMPy2oDNr+4YpdLNO+O3tmPX0l2Qo3trRnd+y6zdUwta2zLfvRGxtl/qRlqnOkHC+baL5
HGlut81EpvY1pJPvUaQnjwQTA3ljckQB7hEa2tCN09xiWfd9068XECsBoZD2xW1UAhmiXtZCzjgf
57b6JNJu2mijNR9K2Za3le19JI39WkFxRfGvE9oatITUPDMXr9FuKS0ghQqcjonobuiSZU8Pjnzk
Nn5uZfeMt5LGU2/r7VsBauIp9nJnV/pNufXNuQ5lhLaTk093asuWTDqMWLusJfG11bw4tE0+FF3Y
6slqK+2c8qkwNkb84by6Z4Wddk3ZqL3em07In4q3dGVPUTd+mDbGr3pCugOTnawpYU6rLE34Axr2
5XEidHqEPLPJGSHfRh2BkqQIew/mML91UDvvC+gstzYMcRobiEAtIl/3RWnfLVKYlwG/bxGgosG0
2KmrFZt0M1/vk03iK0Ur0ESSUMuTm43YlUyHedFMK8/G4PylN3/rXcnlKARGLbtuwAXZrI621c1s
EA3sXD3JvnVDNZzG2FY3NDiLiz3XCp2wVoYajId1UmRbqHyvTVJ2m9jJmH5qBaYNgcJ49Mf1RP/5
BlkTKkhtMr4TNkHmldfgSvMTgaE7bu4MrQSmGHG0czZmaT2ZUWOzBsZZGyZJBR8kv9V6McBRm496
OaKJJP05zx6hIFZ8Y5lfTDHpq2JOjXexTAVh2hmVvqeQv2Sd4XpBu2Bhprd12zJ2XVdEI++ayXwA
XbWyK8vAfBkRreACuF7kEBKE90ZO9THR7TVCorcqRXWX4lbcKukQRq+JBzxo6y6ZxnNlj9GJGOAM
RBcqvJce9s1aNqqKvsYcz8YgiUoXbfWM7V8u7bHXe6z6wANA98S4LJl+9gYQNIKYF/ImidEEt90O
K7KcKw2lUGVtHN8itltFB8qOelsz6z7WpjbeaTpi6lRUFYLFWhLy3NX3ltNcklyfA1Qj2jc8evW3
pRX5Vo9c7CR4PNCzWOkpjVqTiGFaYB1p8Zhp0gLMC7CAxJHJN1/XskPjiSFwHXbOFk0L74X0dyOR
jSs0ZhwHi5lBYlyXe2naGNpnu1kDRgO5hVQHGhqLd5a2l1b/JIzYhDxL3/cRdG1Fcz2RjJaL+d6J
c++Iano+uoubHdGkzSExsdFztfjzy1DQAybSVr8n87eh52yxFxKht7XaPv3KJHVZSatrNmPjueRf
w9NKE4wG+MXZbhOU29Bj1lNuxnd0dnocCkN9UvFsH/uxs0+RSVJ9Eo3i0cBqcSnS3ty3nfJOYD1h
UPpZfCYzlX/q/PGmcTOM2k32iGmH0TxT1h2PaAgw5s0r7WRTFdSLgdteVxc/ScDMF5K6f3EdgDWW
GZq03+Vwaws8Dp1T3aoCTRDJjF6/QlEdhdrguWezcer7fkntdzttyhfXqOyVpllPc2TZ6xqXLZVB
P24x/7d+0C99thUW7VLNcspDnzcOa5jVbiyXFEIypfGq4Jp40GyMARSmhT9uXGkn+8Z05UbMqJEL
vanXi1Xy4Ed9q8n1VDnWPotHVMCeePas3r3z+PmA4YV2qfysOC9p8473Qw9F3jLAxPVQPVTtcKMx
33U765Ncz0OcL/GdnfsOk07SS2DoZXvoa+IRmAfmZxOnKO2oMw7TcIyjFYVatGmjUkkaBHMSjtj/
b5XuD7d938VfOGICMq6KVN9gv3CSwO3G9gaabPTktq5+D+xOnI1egRJA3H+epql777AwlMHYJMmj
Inn4ThOW/WFOwv/upRjO8jTNQiPh53RMkuvWqRilAzsUZClk5hiwLszfDL9zT+XYzcxxzboKgYdU
97Jyq33SZONHgVNjCDJTk8eYPK1thyFSBq6e6iSlU5NkSe5769pmvx5p/zCYcSLG5kpabJVDEz1a
Uh/45ROAHHQKOtHcmFhxu4isl6tmYQnSziieatufXvBzFDG9brR20B3ok4cZ6DdG5XXm3xAsO26M
XFNrk8MQgc+RZr/GDVuQK6Pi1WEqjbFdY5adE04bKFX6Z79oJB9eIImmnslIYZdaw7Sm0ZbbiZxa
Sqa2k7cSY/U5G7N7pMZvlps9D6U1bDD2GgdoR/EOFP4L0Zm80Ch2V3OSt7sB6VBolFe30HW7EYaL
D8Rvl+baIiItEp7WWhbecAK5gp44GpKNCz7lUDKNwrdfRtN+TMikQfoI0d7HeQQPQEfOWAawurOj
NqXyqZqW4xC9Ax+695Tx2HrjN51RvjfHX+28e0kMy9qVsVZeGvK7d50gxQiWhXsqRi/v1wUQlHUt
dGhZNXjemxIhBsYhYmfLQht0WlFA0jPPJovabvsHrcvztV57OPosaQw3eZUi6+4c2/42qcoDqqGM
4a6J7PhS+NNDNJXmDiFm9QqwY4FAgJ1oR2tJfYwQHx+W0m2281SjVpXS3YGfAvIEz3N+H4i1pvkK
4jO2nAgulCm3vMleswJBiF43U7uRedZrVfeQGfXBC506rqZV7B/MKpcXPOQ+GlWfwNoRAdXetSv1
hCKWTcfzRiDoaczYlDQGzqyommYSaJ30k5+pwqItF4mGSXPYWJ02scAWd9ohV1fBAqa3Wxf9YRJa
tFrD1vAZoViJZgeY5gnezRJ3m/miZ8m1anOlp4a2qTqwINpEnBHGptb7gnq2fuXALo60KOpt6xk+
L/fgbxlcYtmIloueqdWIJuS9p+m4mcxefOMdNsLZxOacD95yp41iCCfXJ6yEuSNmJHSpZ5EAoQvE
1ObnguD225biA7lVjtpKL+rtEHlgCxm/H8vY+0L+98Eou/ptGeJ0S1J78oDWp35YbPgqgwSPkZJM
zaHOdy6+b4iviV3490NuGGfDFcyvEAB/vy6FX8u4Th5ASDQ2/zFHdZ3B5pKZ5n8hj61/dHMkz+uh
T7+zsBQ3yaimL0rMabZO3bze6EBlv5Iw2vAdknyXII06FX0a3+hLTPh0O9UH/CzmXsZDf5OCcGRy
ZsTPoHYjrAcxhFIMJEdFAv2xpGB7BhxgAvoBq7ql5pH4EUdYzUAX/F0zuiNSniFJb+kMjk+5RWcQ
XUt5qJHk+Nj7VHcRXeLSTllAA1TUa0en6J0PpTcGmP6sSi8mj+qF8O0Z6pumDGNvu5yPk4LT5C5v
acrCFlPFBtdHtUsqlT13Xdm+Nuj39NAUDA6CulkECuRYZV8G1BVrw5vh25Ra20FLKjnYeHEpTk0y
JjeaI6pQt2u5G6N2DDRTJwRgTsjOkPCDCHsvAO9i9cOg6c1Pml5VX7RUQ6NYeDZu/iXicFj1N7k7
YesnuTbwxnzYSb4CyH1PVp/8q+WsFLP/NsxnDwGArzXMOqbYs++1BIuG22ZUIZEBbR9GUfdF73Ua
pgKLDFr8tPleyGgKxwVMnz6WYGE0Cp4bZIHjN4Kus9fK1qo2jHSbRJK6slR6j3ah30K7odj9PS28
JuM9aOP5ni9KC122k8ahCmc0mzr5a65T7nJTE+ZTGUXd5wgCg6M1ncPqYFilY604GNjq6M8psWtL
pLsgl+a8VWsqaU27RelP7Dj8ueJqDrJfhnIqd3gwzPtiMf1dqqUozsux7jEsgjesedtt6YWcMxWO
IoU0qlmWAWVxnvqkLlQwLvp6vPJnF08CnGpn40R77xpYntoMqrwazpStgEgSClATV+p3X9LRJjhX
w9qnGijdneZNn4v00QBy9laHRavLN1uXVztdwRY5s8MCSVKjeSrdcnk2Kqv7BJbjnMVia+989eZ1
iBQIFy+S/YGtkGXgxyh0mKjzTVc7QHs9glM3ow0miW5YzHo+loVaj2YBpiWq5W06+uKGYPXs6+9p
6a5qvLcsa3O66yzczw0K3zz0THXM+gTIpFJa1QS+cuRr15DnUWBGe2GkxHs1FjAVnLR+qJjTn6LW
jvON5plvhUEDShG5bvUWwxP6mdtr7nqeq5GbTQssqBYtvk9nt3ichqnfmELGRwny8BaVBCy9rB1a
N8B23G3maun3c9kYoYTh0OPkqttnKO/jLmP7eorzGBOm5yVOFiBW7A6Ee+XfasqlUEFu2PGqxljA
Bv1OdpmGEDPvK6QWxImDr5r6COjKNEfd2nYTdslpXM5YsjkYcBp+M+zG29NdjY/GOH10+vjRdtoX
wREA3HSq700d87tXm9bGUiyhJFcMT2DI4gOcDP+U4R76GN2SWPKlTucbOlvsDCWFdeBphjsAcdev
OfIpaUyT1D46ePcEnLvmZ2fYqvt+vQQ+XEfBoZ8SK7FDxxgFEoQx5WjvMM6ckVbOViB1krShVzlY
kSKO4MuT3bYj88AFAiU+BnguHsbHKXLvRoLsQWvXG5uvFa0xa3R0dHJzOI49IVCtslC7NvOr4G+B
OqwhK+Fgkm+dfp7In4u9ad3OGGMH+nDx1i+vnmpP3eIJMl/ICOabsw1facn9nhlXHdJdMp/YnVaW
hmgnyKLZvtH0Sa2oZa7E3twDJbWcE3jgRx9T2CrC0vc+FxPtthK4XSQ562oTQg2zUT2u5wota002
KbdQt/cdJW0McwRxa9BPbMl9bkwIKhZtW4sO02CLfzuIB0PeIJqpNsJq3X3tGrEIWOl0ItkAzdDK
uCqFMwhTKy2b9ove3ZdRm9wRXU6wnUbWo+sM5jkCf9RnPIezM18h2l497/iN92oF+IChq6d4YhP/
WI/+i9JM9ylZHOeQz61cwaDTac2S+2Gz9x6GzDHPYGMc4C1p8zLqTnaEUVSuKA5kaEyjWqUjCbiE
eKjzpDys4r3Q5hAhKNO6ivPVxSVEe4NfYzy2rp9+j9uFDbiI2pVpM0bLSW78Ujp2/hjHw3KvabH7
xLweFjI0nDIKrKExQy8WNfmKmW5eEWLXuIC0oAdbGA9EMEKynQG7cASSe30hOl7CLVy1qs1WV99n
tUITjnfJmsp0q6gl8WDX+N9S9EUrHNFRsvYTK6bcmsevLKNImR3NzvyNXytK+2jBXMwU2ltWc9fI
ctOl7nDfQ1nZFZT3Naup1yDOn4w0DnxbaZcUXOBNU9fRwWtKHFJ1W6yVsp3TZFXNTuV6tfEaYv3s
seMM1BXOuo0yeZdO9V1XmuYXfYqCqjW+prXzzSdDgdgcZ0oDKr4GoxA+n3UFNLWfi7MzRPYujhNx
L2sb3x/otkM5q+KcdvljlfgGPqgxwZtl6A9ua1mPQ15He1zCS6g140NE5BiLtKPu8TKK3VDY+c3E
Tkq2aXXNjxjuI3h4D87/cHcmy5Eja3Z+FZnW8muAY3Bg0ZtAjIwIzmSS3MCYyUzM8+TA0+sDb3fr
3pJJbW0mLaRNmZVVZSYzBof/5z/nO0tRHLoeq5EsUJkRdK3rVNoEAt263w8dTTUsQ94HrzXORpSL
gw6L05i36jCQENqmcf+nZ1r5monN0cCog7W3PdAOxriRzVeW1MXJkFW+a6AfQM/p0IZCEml8wq0I
9PUSPxPe3y/sYy0QDifIf3JnzN0vG4fxOZom684beqLobYZVaCM4SUv0J7JSxrCvMkM0uNKlt5PO
XeOsruU+q0fKUbthn5Jrijc9q+WaJov87LW4RWqx89PydkzE8F74ztfgiegARdI8zSX8A3iw7gOQ
q6Dq3Itc+qOAwLyp+sg+wzK7Q/ut2B0UhypOHyrhGD/jepk4mhiH5YQX3dfjfEYAe8koiI9qgzKn
OQ5kAvYiGof6ZBFYjUoaQPpW519WD2Qos9qPZYkuVKtAnIySip4RU0YFyGlP8jgQzr5e8XaLk5yU
nLsa9gZIyk1fssni6qHODma+AJQuQQrs4QALnHLnmZD2w3WcgLClP0qYoiRGM3trVS5D+6D3EWfu
1gBTPhIOdn5WRWk/uU1ETVgE3Y/KNAG5wZ7THs/5DM2BqSK+cUSSuQeyos57O5oi+sQNnvH1bGuX
udc3n6EtEQyeRtS2bB53Gd/bOmCW3i2eN/tACGukjBbaSSjs8Kmp8fIng1/5B+XJE5mcbeQRM6e7
iPQmfLRpPo5qST5DFfJUVCkfKZB6VfoskiVl5Whi9/uMEloZNybonMBowKGc3YT5JIgyF7wIPYvZ
gx8pxzqxzsYCOA/sR1jQQkp2RnBTmdbB1Eg0UbdP6IfkeUjXX7yepz6BbLhSj+k0Zk9Db3Pacm6U
Bytd0DSnsCT24QIAe6/LfPicK+l8ZSqjT832B0IWPvfmjrkukJXO9wsQgMBrZrM/ptQbgEHkrWYY
HJkWiY2KB0+0bwjFLShv0i0b3asbsHBo+IT4yMhBY1jyWxfUOfNvc2el8tQV9WeMvZ4fdLqD0wfj
uQTkFZ27lOIL25xmGj2jMqJFwezoKszj97BJGyZiuhy6yLiomdS8o4dtNMv6mNP+wHZpJiSX+oex
8D/GaHx0Gv2GXVHjAAy5ZqRAuE6a8GDkRT3xg7a69S3iEm7LB71IEBsjXMKYbMzhkWd3yRMyQyVL
87rYMQYwqfbCJkORL2PxexmdPGghFQdce04lXIFNr0JmJmplcJm4bKUoxJye/KrsX6KhXuBzW4jU
udPcphgYjDy7dpYId6ZW5tb0YkSKrgrDN+aFwtjhSmu2KrOW01hZ/Udipl0RtDCUz0vfkZYZIcxw
8U1YCzc9D92CQgtWFYGHXjCnkX+cDUCJBqOO5PwpqlsjL52nhgAnFy3008QgiE7Y/70DtXaY19Qi
2qq+JpXTbiWk0LdZMbUVAasslA1Q9Mmd2xZv02RaD9FihtG+6635ozaS7Agzbbrafu++AT8ke9qw
1uNKtDhBlc6+cdWEoMh5Kl4G/GDQU4suAsqPNPSL2ZQphCaL22SMaBrtef14JUWszB1J0fyFEY5u
obY9ZLMMqPwwzrYv2Bd0Y/ZS9M2xHepp7xTTa99RiNJV0QsL5ENNn+oxZ5e0G5aWzuOZYPHWaR00
7lTcWRErRc6V5KWvVI5jpGYyGfmg4RQ12j/lktzWDeEMOwHOLdttCcps52YTj2yE/GAhWHLu43oX
S4tGBpw2w8aWdbT352JFsuOGcbckjH/KQTo1psZ6OhbMn29G6aOtunZzclLZfJEWNvBBST4gU9LS
S1w0/viUO6bUQWP22TGjHAlxbVEXiJDFi9Rg3g6QlYiuGDbMo3Ii4z6WbvQQN9ltr/B/AwFOQD02
rBxkkR916+fFtjWGlaVRTMvjopPyiPFs6rYy9uQRWgQUhrIaWCeQf3tLORV/LWZrBiXmmie3JtXE
vbBOzs5ic4Q5arzvM9ZmI6D/HeeGOOeJBLzrNZV9aiVBt8B1pux24h5zQzFBBJOyA+CyiWNN/cSS
V3zZe0PaROd5yQMhh9esA5TreYu3S9yxPUxUi3CtkydX1TwGp9g5OB03KDLNvbwywVWbuGWrOG6b
ZnkA1dClifhdERkOWgXqJltvvMTZkkf8etUtuPQBm3Se3qfL4h75Kln3BI+XVzuWakc+3SEXuFDi
5zj9Ri6dDJysIqGeUgLFLi+74HOCEaooToFQO505cXUAFMrbD5zSBxcX9mau2nUz1oTmjxy54SZk
C7SF2hcT3rbcx4H0NqSByvlFRlOFoHyrNS+Yams72I7YxJMAghcP0xYNydoaJOc3NWHJtzaJnSeT
z+dDXJt8lCKrR3dYqkcHqxYBYemSKrYAvXDIIlCN9skAqICaks3J1suc4ikhDHYYOrf/0YScdZUB
bP8wlTjbNrOR8jcuxBCPAQUVbJYiGJ2QMuJf9C3JdxKYyd0siaWzTqSTHaPipkotJ/AUZEppAPEj
WVytXMf5HAuPR05Ujbw7U9V4n2IS76VH/8aorCsF1Pd8oFDrUZOCgiab+1iYxbAd0nadHIjq6Vt/
YXVN0nzqhkPF4UmpdNuNRz7WDddHEKebqfDiE70z0Ytq4CyuD6LRgGudz5owuVJYBhb/Uo5mCAe5
aH/JCIgimnuorP6OIof5VBqaJF8mxhaGNn1Cm7hPwocIseiJT1fyIytr8w2YN7QBCDS7SDi0G1fh
cueWVQ5ObWC+DGdQ1H1uGm+4LvuXbJEIU14BWixdTPpKWtkE2Mai3360eNs6NLKd7y7zU+M39aWE
lAA52cp3rmq7m1ITeQT6NErWL+b3lDwE2iqbs0iZvmSU5zcONRMn0fswJ3iGrHXb3rzv4GHfIrT0
p4VY7WcWRe6r1XHRpnGgOHa0/KLDKvCfSZrszd7d5VIPX4K8yCmZJFRuJSfqn2NIo6AX9D2fyJwr
td2+gzdIf1n+ysCl5uFJKTmCo2Deqbcz62McDHQ9lBv8jfwzQyV5ngGNkMqD/6XBTffdk6mL7tbO
qsa5NbxyvOlnkwyoI6Zh5zBrHZskZoO+ZMb9bBHEZIYozCOQ53xXuz0eFbNG1fNT9RyOlryNa7iu
0lSINjkRTMvnq1dHHUtMb8lf4rbAQiKwUC1ddRWVeFGl+G1h7XwuatE8VoMd7gUtK+utFvu/nSSv
hmjHu3mI1LOls/EROEG1TdOHCal1L6F4vWWV2907pqXfRBj3O5qwh7NVJV5AhmagrqV+c7Pcus5i
vR9MRXZrZbY8l3lnHPIoLu4jACpB6IzZ1wi0ZN9MEmxpMSaMKganAwarI7MhDapNLfs4wP7hnHLV
NYcR1ut7QQAJsNi8yF+FJbiPdbUhNjn35HO6FjeUpMVI9lCQ1blwuqIaLhdBH6wRJWQ7mvPqU1G7
6D5uf2gtNdzUU1gB7TPNN8fPK85afioSTUlhPiC2JudxAVyDZpvyuypNP4WRnaIht+5r1XS7gmga
2I3SOw8mkkZa/iHysXc1z4wclseBa7TfbmbLbiAJxEZAxKU8Ni6qsetF71Bcv3Ap/fZQWwleqX0S
mnutsKg1cKMOdVP9ztyM7DftWWXS5ptiRaRks70FMQuAPLpMqnrVlJd7elGAS1kM0YxhsDcG+NAD
jTDt7Zgo85SP9RM9LkccQ4Eyxvg4p2UeQDrBgcBWqN9MmkWWBzS7LjqDyKs4LkZzk1s25J75Yjeo
37PpshHitzx2nk73dh/hR66XhGFyGNIPKM4tvWhRevVUkj3B3nOfnZKJsVqICLlFZR7+21IZ3BtZ
3e9AwkSfIo7tKyOwsV+8KDuUXdK9fJvz/k/3B/6/1AxoOWuG4H9NUTh+tvNn+U9RS/Pvv+bfMQpQ
xA1DKYfo5D92Air7b4ALXMPAWoi/EADAv+dALONv3CpcWrCxdRPBXAkL/5YDUX8jVWKsGAUYput/
+U9UAnKk4SX8R1M8VydiEnRkWLbhken8i8E/M2UssywukXSFd4ctcVJ72Gw8GEAIv0Wcge+OV+en
Ev0929DMDHpMYwEwsEIf21H6pxTTzJMPIaDcjkAvXysITm9yKtUtTV32S+KE3ZVDx0L2tdKfVSKs
W/xL+kQyOzq6BVZIgnhYC9eLpv2V6UUOm65hWUQgUz4zruItSERR/mGABrDnufkzJooVlWzImxWi
dt81Fr2ewCq3fYyVPqq9aMN1MX0tPAcJWXjhK6Sd9JqmxT4BqYncyK0BlRJAyYh/NE17cnMKb6OT
eTKwUsBsVe6FtCE6DXMCq8lbtlLlIemw7tk6y7dWMwCe8DS3mh5tm6K//nZAat/6obf1Ytw+rDOM
C5S0+srCRNzo3LAZDlbQPjfT/ciE+zTS/3ZFFll2qXLL20ba3SnKO3PH8Ts+5iUUHVx1TJ85zpVs
cG5DXPS3bqPHQ6MHWo8Z+gIaDUfoSNLeCdlk1Bpb7dFZ+Ut9W890b/TLJ8ouWmCSUuaWVwO37fVI
X1S+C9seSiQp4Jcwq/+UZV9jwuwBXwe6yKZ3o9fRa7+2xs5E4p59oPW/sbNzxtjeQgNp8t1GOrMW
T06uMWCXStgKrYoQbU72d8Gptyj9kc4NjPYstJP70sNdlLDNO/si1ru2xlEOAYs5ZlsNvr+dcc+g
kghLeIGwc2TTeljKC/Jq8cectXMMR1OyvqpMaDroahfsVQKepdM8sTTKt3aDoQX98c+s0/Jhifvq
RmjXumZ5RLc0JYw/gJBHu87zhx9qTJNXwGEUZzfiUbppfU7HSf5hK+9sCiOVepMOzVBt0mjWD1Km
X3HsfTiOCq91u5Bh0io8Y850tsNUrhDAlHorNG8L6pDCnHIdccc/xhUewWTp5htN0PUO19EBOyMN
K+A9NpOKxstIm9hnC1rjOLNNOkaJF1/auc4YzfKdjHR4JGuIMm4tlvsw+V51N/XTzCPV1TcEh533
2Gpdb5cto3jDk5K8RnWencpsmj5Y/hqfE5B/Zh5MCFXneefJarpt4rNfc52HRJvNozXqgq6KfPxM
raZ5dbQVH9pqsN7rsY5OyzBaM8/UkEVPhTJ6tQv4t/jCm/o26kiXb2zLJvIQc6OBHl/fOToB5ebV
9Y+QnVdH8ZwxHIl6MFgYjAB7WjAIDsA4AX9hm49YG8wIF3lh3cF7Bh+kY9SZ2Cgo5h2lOb2S2FI3
WLtmJEJRXRE+Qen2qbxLaNi51iW9MX3ctzfdqHC+ePAGyWvWtXvNWHCOO7onzN9h1pq/PXfuf5O/
bq5c4TQlOQUaQeBQO7obyxKLaNl14F0n15hekjYum4PJYiani2vIFPR3vN60mTBbhFbqnBtrpVQN
5ehcZamGXZXzYB0oDqFKTfWGs63p6vHWPGe964ktJ/uFXPBt75nsTvDfWO/KlgSgQ+1SVp452BY2
M5nlcIvtm2moTVyPbyfd8hdo/9WbZcdRAW4sGoDLj+UX0q6r2aFE8sNGfnIot+nid423w8admmGR
UcxWmIZzTDPvbBjAn8dYMF5MAzBb1pjTWwPuo7xJoGmy2RTVfBKYYctDX3gWNQlgvn7SWUDoundq
9TZgFvN2fu6hGK1kNaua10N7CmcORiCldAn2pd4PcpyHgyeNFUImffHuxjqXMME0WfrZ7LS+urij
qVxlWGfDgfh8O+W4eXdEq8iQ4WGHX9+JKW0PM0RTuNfSqZ4Yx7m3T4hKWGLDtvtptAu7twGBIz6z
n5X9Ux0bgi7OpdhTFkITvaIGjAxUU8xPRgRgI7BlNrwnbUSTdZEweG6mgcJaCvoQ3ShfctmBdk6Y
bcLcTLFJWXjFJJC9G9iV7sk0e0aBzkr0n1a45Q9E7I5rfzfnAf5rEJSZbvLHJFPhj2Hyu2vu238w
obQ4P/xHW2tKyxYngoqj88rdD0bh3wzOoD9mnNMIP8PoftiDgXsyKrL5ZLgRw3lC8OAQmaN6DNmu
ePcUSLJOne3CRFLFnrf3U6yUu1axkc9yv7dZOM7uBCyuSF/YDehzF87Rq2En7HwHyDQYfA2CSZPb
Tr/ZzwwENSbds/kmwgGSwLmKbOzUpsd1C7CkGJyTEDnf+5YvwlsNW/N5pg3yPBUKh39hlnwAK1Ih
8wEo73gIscG/DADcrlnhUNKSCSNNdqVbpm+INfzMKveKG9fu7HK7LAwdmw586g35r+YH/N/CPiUK
jH8QqgIYE8MVFbWt0eF0L3njhJWzQRVGxw/ojFH+1YiR6Kpu0uW2FCPfmJ4A1g8u2sOZM9T8NMx+
/jEBtzrl1PiiD6sl5ewtgQ1N/NasCSo9vJP+Xh66EajcBpMbIqbjiPeG7d5ZzsDKi7LnoUdrySFM
Sv+VskF2xrWfP9iWjrrtpB3aKHuruFIaQXlWFfLKcuj2d2looz8Ccuxfx9GeMYYnVvUhsqo++fDu
aS61auvJSbDbbTgVxU/ckDMeX2Q/DI54ZSlQDT2uCmCh88+EFQnNduOIzyPtZzKJKbWPzSFlinvr
ixaAY2mUv1XM9P+D6AgyUTtP6jG10jha0yG8kmuTBDvVKrv3YxOZqw9d2cFNwnwR9gCXvJTo+dTH
LA06bwq37ZRszXTJf/JewYxbtFe/Tl3PU2BE47dtc3nM2njdT1mQtTZRs87KGZm4B6EygI+yEcZr
nbKPDpbBVpeRFSoLGQQpQqJJ6w8XFUn4itngRv02jJ2e1XPGnz4pCUNLZnH4Fro6h3qhkbSSnFcV
h1X9OnTafeinhBI00ENwlVrqCE0gwNdFr0gJw7O7x8HM68fJQw5A4zPk3m1Nj288JfX4amf3gsuL
AgubJxyfDKq2jiIdzL1ZmQPr6TFLduli9NxoTQp2OqShO2BoaBWRV8rPxWQOFNgn6MmAtXzrtppX
xM+z5mIYmleotuvkaLJh/8yS3PpF0xw/VuSn/avPvpzXN57jrbJV9AvyWn50IXW9JqwyDvEC+qcT
PYWFMECu+Uzxz5bEzXJIp9Q58qRFQytcExB2kUL6xj3d+ZcQq/NZ2z2qGqjqHmdWEncfLOTxw+dl
Z/3Ja7/4HQ6pdeOEIvrJEmVmxUDJygWa721MA/FpRqCfN/9XxsH//+rk6d31JAPV/25wfOl7EAJZ
/NeSw//xa/8+QHrm3wxbetT5rilPhkXGxH/l8NF2QZhWkkhRbBGYEf8VI2CZTJaKpKZHeA2YgM0P
8m/jo/c3/gPzJgFouHnrr/pPzI+uWrNo/zQ/WtB5TIY0l8y9bxt/zciFtF47lisPUeoU+YEH1rQE
hlMJ4mrK+ezmUD4gkdDYVGcG28QFkyeysCv3lt31+8khVOLzVAUDwoMp5MIdxPULd376SlksKpU5
25jc8En19fgzTob+xEOF+0raRyIJ/KW0IH95znLCB+hlCMKJ8cgD3NqXeGC4UXIm5Y3NurAc+Cnc
NXWeuoDBjGyiIr5uf0ftSMWdygj1+sV6pgBFvCUonlwiD2v4LKENCzU0+0Ja2Eb7Itl1ferRXWH6
gR8vLYNrKg5xavlf6frV3DgN4Tgwvfahmgfjie9+cpfVbsMGR6ptgdDHBNVPyw2BB8CnPoYMuSiy
OhYdtskmlnAbPfZwnFZkUQqPKnYW33M2BbE94lggdvTAlSnauk1d3Y+eXf80irxB5mTiXNwPZsYr
JiVqQuz8uMz5ZRzVeXHmh1iwl3Hs4V6V2VXwzm1J6OPXgjRLlro9YZHFvlUJN6fQVRT1tfYAGW9j
eArPvUN2ghTGCBTOtJMHWaXnNgM+UnuFvWWLy63cw8xDXH0GvND7rTEScJPVJ8PcfJ3blvKGVEOw
xXd3v7DZxKonhfuc24jqmBS7o3YFGzqoqojWUFO3s9dntBP5ZnZyC62OY9ewSouG8WW0HJdTNnKw
uell7DaWMC+G8sSp4qnzq8MTEJADkWTdeMZtBtZTPyZa7M+lHCZQpDFzs8srsguhNX8lLvtig0/l
0Y+rlaPjoIcYGMA+uFe6d6pCF0ZjT3+2dfUON1mxD1/UAUNw9ljQu3kP/NV9rbCNbmpuUhfK1tSF
oq8IO5Qbb9uO/goSYZfR0CVgZUscfWPKDgC15YMSbA4Q02lZoryYTzSe77V9abj1sNNec01HyybH
CBWYqjAv89JWMymmVL32CukmwGdGO3GTzE86QVQh7GXeSzMf7B0G6fETpWq6CbPVZbl06WHMlv5j
KkKCXKXfHdGtrOfO8KjG8KZqYuudth+5GzZtkKVAJ4MRG1Zz6wPGxkA5YXHdAv9CEGdtQT4bW88u
nMi4CwLnJI0Ef0zpuNP96LrFq10J2JY8y2gizrSK8ctIZeNHsKrzEmGxt7qRSsZUkhdJDJJiq4CG
10Umt2ns+BtvsfP7CQ/pZXR94x4gPgAfqZz5yV8q6giyvqPnojGrX4Yvozujh9a0kSbB0bFFKsa9
YFBmaiog3ywvh2Ayp8rkDy3TO7lY5TWkwOG+I+Oy60Ndgu4zc5bftj4qNLDm0IupfvCQq++ozKgv
MfueYKx7nEed8qy958xckX03Ty4yDeVeVdwpzLjTZ6Pt4wOomP5ClcJE00FefDh1PpExDSu8fXJ+
qena8wMHkvGz2RbypymX6hBODRzAuWmfHJrbt4mNnpXkZnKgeZXv1rxq+2GUTw9owvphdpwJp2TV
9iz3ldpypO7YSxxFY7RHVY0xvObQOPqZw84DusK96frFfQKQ7LURLl56z6h+T1aNBWPRlTyGiyee
6FqWWKul82qGjaDdvJ7oJiSHu0l6ldKV7vORLi3rD/x84iDmVL9St4IiX+v2NYkpcwCWNOBxIA25
s/Ds7lNqvg5rv/re6GJM8QulMw2ARrzQxNCfbFXAt4g9/PaWN83AvUvrEhXJcpgxvB3IOXkEbttl
G9G4cMJH6r+VolX7ppPDY+O34T3/Gq5ddOotmbAUFVELM1SWza10u+GWkqby56yAm9mmLD5olPU/
fK8o7gd3TA5SCxD2Syb5tLt4UcfWcgNPUE3TZjjJCJYWduBwi8L3l7O6GO1mO2HiOtmLWdzXjWbh
mCW/ZKu9wC27mzrmRq54qhVh9VFbS6PxyahHQJ4MdXqmZ0BFzw3czt9lZ0xbt7X0oUeex5I4yMbc
uTOBCgpMYlbNrU2Xp5gtN0LIs+pLrUQfLLaRYo3HQcMUzjfSoNvNSVEwCxQr23qjaOTGGRJxNauR
zAicMpVEVy1oAOao3plzUQZFWjRHSgTbXd+abWDqnOKLlggacQuKs/KbzMLWseE9KQC4DqUXyBij
U9an+Slm/8nfxYwIEGlc5nHbfqBUczIPlaINbrI0gGvDmZ7abplZKMtlJ5vJ2VOUNT6SGnMgnEaV
f9RmPe8K7r40N2gfkuoj0g6fm2Lo7o2O51k9WNkx9GX9s/Hw9+ual4eySee5wFjOJxYYTdzV1nau
wnprdiU5yklCDFuWozvq5VBOMn/DJviV8dCiu+Az1qo7TkW+41URx56VdY+jEYd3eEKarwJtC+ux
o4P5xk4r48meRwi6dD5oqLflzDbec4BwObDot26pzT1lU6DipCH+6LB1b0x8zK98P5qL8urhaC09
gNJoqL6KvhiPnqzVTS/r5bONnWxjxOV9CD1/rU0Gej8W4RNvQMFrKsm5Nxn1sZ6codV1TXxrRhQe
8j9i6uo0JfUs7O9zqzQuXZJgghmNcTfGmOQCg+mw3k+SFmbp9qgvjKH+n0Kwpg2F8PdTltn0EKAV
4pfypmRHl7FrH9wywTQEAu4RF1tEK7SGdF5qPWDl6VD9D8Ivq0fuF0l5zSMh4q0ocmYijoEgPhm4
IbythGs73flatzf4tfIHNNDkd8GJM29iLM9BrhtaSwjrvlhFke5SrruBl5nmc6dG6o0lpnD+XREt
ojZpjylL4VFMDOrlDXZznkyORpHI3aCm+rGbpjv89qhdEP91253aSlfbQSN0wdHNELZxR+JqjQLi
j/prSrT+M9XyqyP1/6HQON169V07dlTd+SJyKdAZcHDQDBOUlTVdlMXir6mN8bzYGG6qEI+y6uIC
UD2Pp84YrBur8Z7lMtFVij10JwfhbUNGUJxASCV5DbXAyZ1yH3dDck7LkhyCGeJ+ribx1Gf4XSfH
dBGj6Pp00zn88qzG2vMdjQ5lvFi8DUPxTMjOvSaWF90bRawP3TL2e/oTzIDuSPcpAql8sUoenUEq
V5+s3ecgg0YI7LNQxBBgw59arZqfZjrqnSfq8L5IWtKfU6VwpvDgrLrUuQVZnQUiD60dUQtYC7lF
4eTklUghSaIJfOZ0RQKCEBXuy0mRLzXifYq5LOJ2NQkG88o+K68dd2arSalp13wKex/iUW041wGc
7ZF2rAzD1GS+9m2Emi+JVmbuOJ2SPKzuFbFZczNQNod+YIjkzSEUcGymrH40LKvHkZREd6hXdMmo
xX7lQUcTt9t6TAekRXY2buobfFveUYX9wNFCIsYroTK4nYNfKysLvO6lQROAksclY7PtN7O9V2lo
nMqxNuFahz6PmrmECrhka9C01JfO6B8co2NJWlNOjWi08/L2h6DqizVGfDvOuElGMBdWVDkvtAXh
SPPadptUDC01Xo2gRvy8IZza79qQNu8NAeVphwsYoW0oBJahboCdXfT59GhkjvtswBLH0NCH/A1g
c7ZhF/4H6B5p/5VlYv5lTluZI/9AChJ4muAzJfFRT0NOEMmhvmL01Q1pfawATorroJzES+NL/eyZ
pv+GLlnfyZi4BPU3zXuYTOnOHrngAwCR0SEe5vpZw3nZG44gKq2yBIO+L+7LsSVx2HgJ1RM274AR
+DZXCRHK5A2zgBBcakqiAbIvD/Wo7J1dZmfPS8QvmkGirSV0dSfSvDti938dmm71m9TOLqTT900O
A72gZJGCdM2u0OHMlzZznFs7z7J97oAN2sIKIfoQK/XBTT06oO5DuUynT+xA90M/PNncUDYziuKW
oMGMhT+eH8giXcB3LJcE/AU3cA9d0TBbn7XEGMfungQDDX1G1Dpfsm9wsQsb428wF1wK14Rv9WPB
4ia3deJhk2tjd7ygcs1ka7ntbrDmuA9V1Y13Xb5QdYZAFNLym8nfzmAkX3WIfay2hdqhvcnHaslo
XiVgQRbKBQOC59492/0gjo7Mwm2XLlUTSI8aeTxvhv49dvoNMESzLwcn2dttkRMHacgMRcxObu1Y
G6tdkms4OR4utaLtyTU4ywIUdOx2aHjJ3ZKVPKHjUt6EzK/3iUFv8cbSY/LIF90/aV9PJ7JElAav
ZXFmMnd/6rjnKlhMk36GL+EQOOS+MGHMLQcVeKaA8r7es8fvK3f+ff1m5SLOPIW5lONC7Ha8kHJP
DI2YgjHF8Z213uSt70s9Ir95Y37f9I3U15wP3P8n4fUXf50JsnU6wOoHBIQCIITOiM11l04mVTx+
91ysA0b7PWugy/EGtesIYn1PI2wLitdiHVGK72klXAeXqaUhsnAnjMXx7Dc7a2gE9u2VjvI98njf
44+p2rI+9o3SGLVdkxZNx9/Ndk2Ors344PrrhiFyTPVZl4akPwBOh6Tv5N7WbXog3tch7q7z1tIs
TzVFHttc1I8CV/uxFrxgZK+rx2Iw7aBKuCmvFlixqbgK3yiNB2uMGdLsNuyB56ZIlLHHNYySDdiv
cWSYP2TjOAGbdwyFRFdeG94DAkXryJitw2P2PUdm5MKoPuhRChgyKXYk1fY9ebrfU6i/DqQ11JpD
sw6pwzqugpaPLg0TbL2Ossk61BbreMsPuQ66jLztOvzm6xjsrgOxt47Gjoi899LGJN3RHuOuA/Sw
jtLLOlRj+C4P3vekvaxDd7yO3/46iM/fMzm2JQssDIP6uI7s/Tq863WMp9WEiZ6245CCMcb8ZR34
Uw7pIsSQ1o+o9pvhWxnIVpFgWOUCZxUOJOnc/wDTZK/GiH8Svmxp+Lbpushvtkuv7D8fqB1cMYaE
RhxmjMI3ZZacevT6nTPDiwLCRe2dbzn3ht0Lc80xY+VMBucwSmW+dxiRyqCtVPQ101J3U+T2fBae
2d3D8fLfuBhUr5ZXX2AbdbvB8BeITdb02BY9WbVC1Bnv6Zrsn9WcHY2eoRPiQUphuAs5+abzqHrb
9TM/FY0+FO544cJ+mRZpLOmAnKPNsh5kkHE509Lv8w2XLWed/X3u0XWqaDrnMPwHcfP+76/MfyH3
cl8lZd/9y381VzDXP71g308gLtPwQCVumJWF9g9PIL+lapNeQe9QbNTT8ma9NZ/irXmcbrsHFkHl
ncj/A+zZ/wR85JlnGsDVTHhhHJXqL3/ihMBSYMsKD6PrhRByOirJWzudbzOdwCbhJl2f27npARxF
WfzTdJaeeGOY/VlMduCQd5JwT/npzHupuFHvltDiGS6rWhkHsNrix39n77x2JEfSLP0qjb1ngsoo
gJ29cLr2CA8PLW6IyIhIamlUxqffj1VZM1U50z3TwGAvFgP0RTUyM4S70+wX53xHdrXz4ID6zkjf
qJAQk3rhkfuBTWw/NVWDOoFQCTKzpgOVDOfT4mpzXO+un2aQl5SfDBsKENG20WyVHJvTggF5c8Y0
PMgxzA9DI7wdPibtkYVle9V3ZQYceECcmSOAOw0UxPcxis53jLlptgbjMK7TKWmf7Mhazq/CzJ//
3470FynZR4U2LYniTv6f//1TWrZ+797/8n82v4F6b/uvVt19yT7v/phSL3/zv/qHf/v6r+B+sQTp
ruXyef37Kq/1+2f7/jdG9X87v0fv7d/270Axkj/jf//tq/zUfVnfTAt5gGFgiKXTWnCjP8f25jee
Aj6XiLdAQJoeM/U/+L/6N9bKvu+J33KtFyDhH3N7/RszI8RiqHE8C7mU8U/N7X95FmHNoiwD5A/+
lx9E/wX/i+CJvU+Yh5sRyn2a4rK0YybW5pp7Yven1+k/eu5/rTwdHNq+AYnXhRUKDvmX7xVxYFW1
kOFGlBW6p+EO++9eZi7pZWI7+81rQYpiNz77NEHufBMVaJdi6yWPTPCn02nK661Tmvv/5Kda9hJ/
Po1++6ks0/aIlUFm5/Du/Pk0CoGw+U7RhJs6VjywzYHFBYJ20yWrsN3MTg1vpsCP42yX5Fs/GtZw
a8DWRmB3O5q3+vYf/0Dmb6/5Lz+RZwLWZFvCe/LvcgGK2K3JC4rCjZz7mJmZfYhgBN0xQAtvGIoT
vie0/KbOBwgDkzMfEYIWZAULtN6g+tBel29aWwqabyM/Wb0Xnmw7OdRuybFDdopVjm/u9JGjNRnw
vDlVeU14XJLBCmADrbAYmT32TEfbWFJn5oPNnep6oZcBqOS+JcakIUeuTrfoWtZpbl/7GXEhcXJ0
tLvRrO7msEAkbiPBGgLhqY2m90zL4P8h04uccNc31ZV0zH0CR6NpXxT5d1S5wTx818qT49KV4Ls+
Lpo1095n/tPQD89Dn+FVU+jv68k92N1TOPaQUTAJDNXOAtZVALGmwL6d7SPagTPYhABQScB0lmyx
8EgPts6AtfthDvB3vAflcoRzvJ3oQp0MOU1fdAvqQW21EcM82xlIkMESe9zb7fVA6c/ydHIRG9p8
TwgEyLa3Fqo0KZ4pCY5pIQJ2KQcjF+greopjEqC6PCANEnnaGKDm4+Xh2/iw1ZrxrmrFLe/nKtWs
fd+xDZ/HxdPEXDttAdl9j90bZpdXzENWCRLvkZmYrvvH2ubJHLyNnhaBltxnUP+19qxqd0u49jso
lo1tf2cc+SYlkI6BJTX6kMi/kVANfHVJ2nLvESVQeEie8VdGIaNR3Rc14kWoXm6hXauGd87t4ZLV
6XhnMhLuKGZBHnahf0GmVX1EVoNgo6550YqhJp8Syc8XFJv41pyj6t23EpfkY7E8NAQ8wC2OD+5o
37tGbz46mTlwoUX9K7keFTWaH+3GEfoJXks9ekL+gJMPhRl7jxJXnZmxYGIp3xf3Xqb6LTt2F4bP
rFlEhE8KbFDtTO+iJfq7xFgOM7UZousYv9GV1Vs3opXObTujmunMotn+9pz+dyuc//9baesGH3+L
KvfvX5LXX1FMopz6qxj6X//h7/eiT0IcoW0W2W2Guayg+ZK/34ueT7qMYMdt/FxO8yd/3IvONy4s
y2eW7DkWF9efLkbxTTd1/LemcMifcX33n7kYTeuX64pQO325FADkezZfbFmd//li6DFZeKIgJApc
oh2hW1wmyJ4FeXIp4+NP1L/5sXOmqT5wkjNPMBQwRWdEKbON/NB6BLRZHMrOIQ+7djKkl0WiYcFk
XTM1u0KLrUdf4kMKx1G/KTRNdBesxo4VuIxicO/Zdkp0V1URZakrD5uOjmPkoCSje/CocbTxwi56
kKhQ9dWgkY3W94b24Bs9xWPv9i+1DduhTD1/Y2DsxPHu3ekzxsXB0s9AA5AkZXWDWwbu2EcDOWsM
Ugu/IoVxFF3BWfNRHjIWuBLM13Hl24v8pc+9nT1j5nF7oJWNmbAvEtAjIjEv7hGV7E0sCwH8pwm0
cK6QqcaW/+BVvrcbjWxkj5z7QaoKkux9ZhpWW9RIk328NLEToIc26ydGSyN2erKliN0D/Gf4Ws0J
WCeq2FSURPqVaWJTOY7lOIDCyh0ELGVl05ySDTfukEoxapnGPEKlXjYTol5giPU60kArYYpL2QFF
hpJcL9Tdxi0lvq9u2shzyluk+YCbMGCE7T5Ll4VSXHvGfOj1zkmP4TD6SGcJ9Ro2yA3FvLWGOH8Z
clruW4+BirllBu55qzw2sWTitMT1xrZ1IPLMkcMOLWj8qVc42khDK/wdgDnjSYQMyteRHkVw0+UP
359OvTZiyi2JCq8W9S/IXG2vcTe/uIwx0MOGF3ICmDWCzkBrPAE+s4DkAMpPbo0k07eOTvtb5WE6
rRqhjztUdvLTKgZ3jzUyTnbJMCcGvDCdaZ1Tew+CMShaSrdyFC19593nhqauxpA0XhsF9DqRHbmj
LCTXnNfAf6sy3mXA4466i91nUSRv9MQ79q1iDjIb80NY0uJAuhBHx0ktlkekypSGfhN5fZBVUt4T
Bk86I6f5jRbBtR+zEYM+cmmSxPMWq01VxS77D6TnETq9Mb8Srumt+VrtWrFFvWphrJDMndrJA5/W
/oSD0EBTbFYKV5ifpAcVZXD3qrBfM0hxGMVH/SHCUHzje+Hw2vHewiOrQkMGkTkpdk8juszVrI3j
ukXvuwLm+zSxVrltFJauEfl14+vzU5EOyacwtXHTem59j8FZAmHoU173VO2cNGqAMHf2Idfm/hry
1lfV9zUeRmXi1p7Cbp9p5ADBrNayl1obnfuxUkYWGHHmvtWqM+RGh4N0GHOgqROblzXKWGvj4Efd
iIHkPL1hrzj77hi0E1bvggkNI8mUzMM2yvdwMY86jT0nTIG2Vuj9S6jL0VrJKL9EvgUJuE7LY6Ni
/2a5xOkVh7D7ncr9P9fig6q//uV/vX8WCdt22bXJR/eXrs9hbvmP7sTTe1vSsWZ/vRN//1c/G0Xv
m2D2hcfFIan493bwZ6Nof2PEJNi6osoFP77Euf68EA3vm82dRzuIBuk3j9C/doqGgSrMJGeVP7H5
D1qbP3rnn+0abTddePRV/QftG3fuX/skeOugyPEp+Xwl69cxF4sUrXYxfG6IMNgT0HjjMB9hc7gl
wWWthd3tUGU/0Fe1v0sH/+73RUTx63d2PCxOAhmyIwS/yy/OJIwNFhqdvCfb1W+/QttlhsjtCFND
DEZ0MPUZEW1C722x5dbmu0nWaEWhucxg5mT9w+aAZ/Cp+olgiczzXipPVSeAXQja0cvYxTqKyF9G
8628C1aTCZ0QVr2tJUKoyS1k2tkZ3KMWdc42kj7YhFJhuc3xYNN/tTeIs5w1EXkfqQ7FDvzNNsVp
FXRaDHm3KWlzC063SF8eZB2TPifNMgq+syaDxmuaBusMF9m45OSdnF2JrGHVTymmUi99iHyP7xeq
Se7Q5heoPaoN82WCr1J5nTF/QiHMkRuEk64mmriEfzwqlnkg9IYPy9Hsx86VhG/I3ohuEtdvr0RJ
r8LwPlyZToKRszZZbJqdSFcWUrIn1BP+nSPYFkJS5tqEN8hGvb8l3RF1V9XFL50eWSxEWlvbKnZl
FSpZ5u6jJrsf4WQypi8rn+zRKO38z44JP2il0QE32vr6I7JcyX8i5XLWYW3Fd7JqcIEgy14qfxMw
8grV+7jzdC8+UTVibYc7d2VyLwSWJpwzAin7Rk9mwI1cr+JCBJ4boCTXrxI5AReuJ1LeIjqMYGbu
hCW4waOLzYBVZg0Ge1fZ/XQ1pF63BW1SBovVe5sm3Xwqp6F+pEhy+6CpJUtQ1xLVE8oQqASd5hF0
zpWi7Xpv8KtLZFoVefR2Bt8hV32HVaNsisCWNVXTgL13zwAnqdHEL7dGboKVRXUedQwNIZZMMJ08
dcPfG+lxxtL4Ehql8oZZdblBv+5fmISzvNYHLWKWD/0xEJDXD70cwDV7ZZUSmTToVcYW2rR2duxS
31RRLZ6Egu+ymVPlhGt8EvA2p46CxGklXK4Kp+ghLCS6LRaW9XXfx91bU5p8kIi3fYEbFX+FnVt/
8MokdzIr/RtElyWBoIphwSax+/gFg2+CArtPoq2ZIqBfoVNl3m/2fJfZjA3wwZnfBSp37TegsDS9
c7qYU+yBGIlkSPHExOiBNgx0zC1ucnVvVqy6S4N92Xo0zG4GkNpAuV2y0D8AuiMMSaOxvh1Cw3+T
Hun1bcKrt7G9tgL4iisD/1/kPA0daGiXEnjakOhGgnzVyccx8nGcmDCg3pskpdhFPAP11GgxfjiQ
EnUUm43xpcnEuI+7ungC7xfeOpPlvpR9boK4tvJQW5ujBeU3JEV1hZQ/qzc93eZ95TT2RqqebJCI
ZANGQqmTybW0+sLaoubvSHRrc6IJnMk1V1HsOPMmZqa3M2ImNyxrZmM1dLCxlDsPwy7O4vYO1E+z
hNPp+WnOSMRdgX7jFMnAzaFWzEftRtV0AIGRedlTyoYBjbsOoQvVkYv8TW9L/IvCKvaox9G7Qrtm
+chuzD30ZcLvw9oZxUSdeullEW9czM4VfdD6gkiGuTTG2wTX0BNvKQTQ2imWhXbtoI102ntC4eO1
XdsjvHhR3KJHSzdzLR1nRQ/evFiS24TDTFevI73eG4c57yhkSrZVqCFAPmNI0PyABj3NVtFUd+Cn
vGKaKW/Hzgq6iZ9UA4LYR7igSEhOfS0whpJjYQhDUeEhmYfz2KFYy/U2hTQE6pJEvAFp0F43ffM1
6eQggqgXAkCVoZXQPJSO19M3+4uGdfXRwzZYBDIcXA+1Ymm/jACdPptoBjpWxAtFISEEDN6LSZpS
AMBxFgxQWhUdUG2gRHEtKzuDStDjS6WDf97Q0lrHanCieCdzq/PRXPS4SVRv8HS1rOxArjSphu+u
ncIAIkErN6VZhltZgslZjdIF9mahA1uPNaMT3GSL2YMPTsuCFnYIDNlKKzII6WBGgTwqdgZKSP6K
IWAlTS3A4VbWBf/Em49+OtQoDrwQuxtyLJd1NC6e1n2CZ1EcB3BVpxlvuMY9tzgNYsUNmpW9ei6I
ce/hVSfjmcAgr9wUGSf1XGbETKssbhqmObb7SeCycz9lJkGJOJgBMuHIBw3du+0P1Q/xbetYdRwk
RDxsBt0fz17BIpZfdAjQRxTPZRUtDG2vSoLU5dqJnKVDYyVyKswSiZHbyxPCYpji/OTvUMDP/RiH
q97VhVrNhmN+j0KRn+2wl2gogAdg1WLUhD2kRpS+DyOlj3hjvfBdjxQMmt6hZbmip8mxAjpD/Ew6
gc4b7eUJgZ/TRC9SG/xuUxirl8VR+cDxW18m+CW7SJ/Ua8X9fOVgu4SFnJv5K4nfvkVO5sx4K9Kd
GeBRisacPs9omJGqxWqLbrl9G3taedvVhnM4heZFdyWUbhJk2b8l86PgQfpguhpCLQOyuZ2qfGdC
9akDrwJgtmrBYX/OkIfqQDTSFYEPDQaIKBPT28Ru8PfgTKEjNbP8qkHP/Sr6OP4xZ2ER00g0+GMM
+Iu8cCmKdLA2BJsxE0bL1QRVFHovCuLsO7dLcusQojtxbEFnZu7Yt3O+rrqaPALa7sy90UOufHwx
sz3BgSgBn2pWa8M96sV6wjbFQ0CrNkktfW9MPzxXQ/UMOBa8DLIBQjaMKkgKHHVbCoNmBtqEIIlE
bdsB6WGx2G4UNrKgCG0GyfEEpr3glTCKULWbvtYQ8xem99GYnXUqYwyQq8llIE8YJnJlcLDOVW8b
rw0S5cdssuzvXmb6+d7V+ZhtfFxDzQotLVeV3bvdD8/R2M43vTv0GzsRDEKQU4bbxc+qAGoxBl3H
U5/ydFo9fqVxhOINkILecUNyfIYoGj5ydeoH234eu4ZPFJa3kkIIf11gg8bZt7mOPNubER2tuOCN
H20G8JBzOo9emLpiYNB6e7pxEvDna535xyZOyMNbgSc1sLVNhTomDTbLEHGWt0qEnRDm23o6WdpZ
92Y1ANuZkyTaW6Q5lYN4WaXv02hxCvhmUY0rA2rxfenVIMKjoaY2YXIzPtJY61zGmiRWQoWW5a/4
CDCCytJURdfK0q07vcxnb5uPDgv8ZM4RfPeQXg6dY7qfxAABH7QB0vk4qtum9gOrM5ytAJT9PE6s
4IU2U7G1YWysMhDUK8y8LW41hhUBIVkzQBVD+1BGVL+y2ik7UUIKIpk99WdvFXVesbUT7KmkEBFq
MmMCnerIvOlTD0ueI2IcEgMgFrGMJaZyH/liIoo59ezbFKXEZixKb2vKNt+4fmhz5Q7hRYUC2I8L
SmnrtcWHP5vGM59E68eYyHTTDonFE1a5/oUBVnuVxtPI5CPN3bvZUEm10dGs3WvKKK5RHfD68VA8
TfbIcZVbZOrsPJmq59D25INE3E3Ixywm5K1OJNntq7r/Afan/7DjgfkMllDEgpVFDx7ggvR+WB6j
Nmz64PvtWlVcsdK0YUfhtoIuTnZJZPIpRPg+lvHa6NX4I9FAxNVzU9yPM4fKqi7Dukd2qaAC4vcF
Kxh23WTuezyIHvmzkzqCCIBohQBioA/gptWzGO+XsIHacI2VTX4uqOaLdTang34Qbd5uIsNJ7usM
63uF7Xgzu9BI0R/PHvw/4rVG0xuDyk8tQjuafsQBUTpQ1PNw4L5XCepfN3b8hwoZPRKjUFEJclHm
DVlQAyK9ymhywCYwHUGp1w0Vkkaw/OPo2tWj0RXFlti+jFjJrNZP0zzFw6aTWBJYOsj8WfUevtAF
B/WVIXUkktkNqYpKDfUvjjuy7lcRK6cnxJj5w4iB4dMEYr4flWIqi2qifCnpjCs8vG36nkIc1Le0
seJmVBlyQ0src38FNtY4sdejPPRLf1kq4Na21sMY2hwOyMUhBFZVc9uSuDMEXcHHEEs2mF2n12hz
pN3qF8AHjXFCi81wUcFReHDL1lqNWv5V/payjT0GuUVrLOnbQ6Gl0V4sydy4b8WZwF9KyLjD0H9M
Ck8/IiHlAxfy5B+6VLQXCTxnkdDZBEzYgjZvmOp0l2A7w6cTQb/XqvTTceXicsAicKJLFrcQ40+G
N+ursakOhWnO5ynOINY7xbqj+dqgcIX7Yue7pAJdZxosWUd0OZIH4CYhbBQcbsfqMydko3IpP1pU
YjFDwi7b9GqmsZjhvpOf1JNvPepE/GAdKhujvB0xRl0K1RJtZVA1EsWg2pBvo+z8qiqNZKPBdFu5
ijE6aAbnxvKFZAOc7zH2G0FKfRnJbLyUTqs/6WWxGFPRfiEplM8lwOygS0znDh0HDvQ6VVtRTjdu
rCF3MEXvEFEw+Qfwlqz60PpGAyeUr8PiaJKTwfx5VbWJN2/0Ni8xO1b+cR6AIwdV6ANY5/D+8qS7
azwdYRu6vEs0AAzqhtJ/rbTBO7qxCdCkcaJPjws0wIhGc5ZX/BW7ByZYJ1hXN3zFTLvMLC9coFk1
2LyBAfoD42GdHUIIyXsEIPBgFTGYurDsV0yh673rxMNj7TbZW9jr8xiYutJ+DL1byjcrow2iAEgG
c1uGRKXv2pQMA05Sc1p3S2bLIenr/FMzuvZKkUGTEKLtc4Glk6FTDdT4xbb5QDWZsQxg6wi3c2t4
jBN7MQ70OHqNXbSHA8puwqBSWGfLnVl7WGpXVo0QBU+QNWZraiR5rH87djp+tNfOsREsTn2CEWya
ND4UAxgBgdKKNoFptoXDz6yIpQ9qt4dMapUGljR3NL5qkZjh2jb9TK09EBwHf/Anf0/KFGHzpAdQ
RGPMdr68COhZwiTnJEc5nlU6zUBJ9ZjCtDdSGM+FTUidja+CjAO72ne9Zd3ZnT4UqPt1jsTQA6Qa
gfomca2WaP2TwlVil2A5r4MU+am5cgZTv+rbGmBnN1A9dR5UFKxvU/eBDdvrfldB/M989D+Zj7Iu
1/+hsObSl+n79z+PVH/+k5/DUefbks9pLQtDz3B+YyT9HI5a30iCtHxMIr8LbP5tOGqZ31guumzv
fs/Q/tOy0P8mbNPQF32Nu7hpzX9qNuot2pU/azZ0l6WjadFn2oL//bosjCLwuAm93a7vB7lvjax/
R5he0z9a4cUiYA9Eo06egWZXp3LA0SmKclHme+nJ10sYG0w+nzyMLZ/YJUucUa62dQ08JuaYTict
K+PNbIOCb4UIjygkKZCm+d3p7UuFK5WqVa2cqTgBaaDtZau6cll+ABdJzhb2NOxWyRPK3c/Q7pnW
ieKYybrZIVU2lv47m7ZNjV5XmV5CMoprPOYi0TwMKHF+tGa7vIZ9Nt+UGA8/wGLT5niO851MsnjP
9xtval9pMOq0iDPQsaMnU6cRJziiDmzVJ+vWD7M31vP5mhiPZkcIDoUvdvj6c9Ct4WA3VfRsF3I8
aPgu1q5j0P2WxW1N3uU7maLdMcWvdBhbjyBh5OvQohdRnpQVbQs0kf4S59O01zKnPFURq0NVSDEx
EcGWE0OHeaScY/g4TfcJkOyzjLlHSZ2odlrhXky7HB6xyUZfTZ60LxhA7dtiIWMATPNh1zSkzLXQ
24k5Su6HtICqbKonaCrNJRZMjTicxaHntT51RZhANvDKp5Fh7C7RdbaQktwNPhpBiy/mHTJicsbj
hqikSVDWr6rRHe6JqSzOoLUZbIdeMCdZz6zWaV4cJrSQj1T94czhD5Uqb167/vQcM+9A+HzsWS9u
ktowbgeAqZuEPuWSuqP/YjtTfUUxap8QHVrw2Of8E0Mw8OSMmQQIg1icVWlpZxLhPLlCNyk+atE3
O2hZxUFOMZFKcYsYVbdDgCxw2KkCEBgZnnEwSs28bpT7FbYnw3yxUr6zzgbiXmpFdcyFlOs5LF0k
REiTNxy75DIj+yoB2hiY7RD2Z2ec0nLnkxjyaM65cQOlow0iu2qeaa3VOVd+yDqUmAvMBsM6Qqge
MBGAQmrwBlHzmf51QV2OeaKq5V6PQ3ilqKtXueb8gOICV4fba9OYjb91Oox3cWVOh46H+UyQ8WNk
EySEF5IQysT1tlK17oOfacO2zov8nRoVopCkSQgEHTpRIZGxSVvQRQ2c/e1calowKfzKmmJ56vSV
vrFnpLhRoprrAio+Nzw4vzzVi0MB46mc2l1BzszK9eb6OvRCey1SLxCdsxRA9W6mQCH1ZdWmjIcG
0NbUst9FrHaGnUM2FxOm6l7PbuuJQUGtQdrNYCGx+wR1yBBzxx68PEHY8V6zhFAyxhLlwC4SfZFT
1q/kp30nJmwjZnklS/cjpSu5zABk0Jm39gJeDzl8lq9YtJ612GLzoJ7vRmnfeewHmDeiq2oAFt9H
ftKtKAHKVZigEGAG/8lw/EwVPIE7JCnL6NF+VU7dP8ckAWCZyKhSMkfHMp12BF6WxklPo+5YScve
9F3tfnVeFm5pZa3rtrd4mOD/bkL2E/eWa/KqTrbJ4eFPwIOXwYWo5i2f4wXErkamg3M9PUdF6B0g
x8abPFuM87pbHScX47QLumY3gHk+ZJWg7DGkdA4SxvgObtl88aJZbCOX4KvQilwYQmqJreXdVpmI
AzGzKTC0haPjN/lGC128Sqq3d2YvPBY3jvW9Tpmz8LcrddW1ukGEcjcddeICnlWpzQF7sPqq88fh
qDdTeSzz0dvHhV9+H0XZncYY7Cb9tH7HQ469M4nB++Rj44BaY878SOyKawYofetNVk49EXZ27J0h
YlPwxgl+Y4LL6LtCitDJLx6tsWk2tUp2Ws78mxdin9uVu+bCEC9DSUz9Ujbhog3DNIiHBLH5oJgm
zVB2XloUlpuCnG0EGR1u/ypd7Gs5Xr3UFAQItDGYI7/n+e+UgKWGA7krhX6RAOMyHZleHCGRoyin
n3ev+pRJMjNiNkOWfcKcQrAYcVnlPEwnUXF3rwTkqftYcxKW8uNn5mHsHKslLzcciApJblOLhDZW
8xOGKxrlRALK66px3lnMZncQwaZ7/O5zMIWY0fpiHoDZdrfx4D6mpCuAf+YLMHGp1QtejIVDExaQ
UgaHSZucmWLowP0kYRq7TseCMTPfekvIjLjTnXw48dXx0g5g5SL0AZz6efKAQPBMP7mBujaiZokK
eA+avhLsBIJ4ksDZ4BodpyqzDy40sCDkN38WhW+9Sisd10njZQduCSIWwvqetAc4Vg0xFIy1BzBR
RVzWLxS05NiAI7txC1WfKs3tvgrfxvAhpuUaVAlvalFuJdpVqGfSv5NOwvhpYhuq9y+9yZAxLU79
CPvIKKLrqo1Nrtm8ZFBWwvnym6TS16wuwjXdwFFrmqW0llfWpIJiYiNgxlBq7NTaVRAmWlITVkRc
EvmnZQWbEjJ62iVEasKEgIQ2QlaSfhlS+QIpLojsVS7N9t6Kxuaq9r7cyWJm4arw3BC3B9FfmCfR
YdLbDWPSOeuqGrv3mWvoK511KMTMYy9GFteoTlkhcL2RJvTAUKd7yJBRozFVWQFgnUzJWzXA4FG1
aKFVyHgtOnJsmZoo/Ymjh8RVsqt2siklTSzbQ+zQxnomOwsgH9EmNEXOvZbF06HwcFbvnIitytqK
5QNBAVzSjXfjaaKvV4WnPakEfG1dUaJEev2V19P0UBdujgfWhdZl59zellX4t54NARbyeFXSbcDa
P0My2kIVIUrC6l/oxR5b8kdoejLrFolRhfWZ2HquPf+6ZFabbJSeuy8pU45VRVkBweIjje2dVUX7
WSanLnH30P1Qzo52Sai5XaC3XPhK2IQ5MBhmVWhLt4be7CvRX5Sm32V6/MGF9jS2w6cUNmhIpgvk
FjXonWwiBTDIrAQCHe5dqrAwRoftuOsUDPR1Le2FkQu/g+Sh5hwS/ZmLMIrBWrlyyXzpzxHmxJWL
dtXAsZ/W61To1gPHrweKAn8rbbJmE2XjlwfDoOrEH8mCMjlpDIjXyTBa+2aWOjhjT91XaT5v7WEU
FwObsyjSTzuigC0mu2fGysSyyXscsRJkYwzlTQoSJIU0ydegUz3iH+zWhmVMe6Ji9aBqtXf2nfVe
NXl+BUWSKzokIaNzq5ZBtjOtqzkWV7go2LBrdnP03MHc19UYHZuQgB5tIo8lndynIeT8M4cktsja
0JhqdZ131zZefeOHhrEjZfLdy0t+Xr+tNwiWyJRwnUOjwb6TTffSOO17M1TIpUzwa0jbcZxmiMZY
RT0L5jovZTFqm4REjcfSbteFgyaJtyPpA/pO7WvSwmJDRYliTqkoAFqpC2wb4LidJsuxmzV7Wgtn
b7EC40Utoqsw0uqL63FJRRUc0q7sn3HjNVci8QBmJ5WxzgT77FXrLN4kYtoCTMpyC9Ch5bNDClCs
ijBgRaptHaL9gpnh0q4e+vCxVHFzq0dIrhrSB++strbOTgLBmRoM6bKZl89tRISBVYw241mh7sg5
RoSYdPlnVRhMUAhn/+Gzb99NLIFxA1JB125qXyFUIRQbUmnxjm0vviIyJCVrZPRMNFwquY8iqryV
5jTJk2S4zlFbs37vQ0IEc13fMU3Sz4ZLQG8/RIRlxVIewhlON0q06K2ExrAKMR2tR0Tcn+xK/LPm
1eJJGYa2IoGEdabVy1dfNtFdxtrtvmKIfRw9j+C4FMU2Lz3w+ppOgJmoTXCBXC5XhM0ytbdzK2IK
Nimf+ji095qcxrNrAeB3xqY8gzCSJ/wLLt6g8AtpIvOXmbAbEnQVpRsei202O96rMbUWkTWFdTfO
jtzgAG1OkUwd6k8HWU0nxBsta7OZGTN+1V1orn0awAOc6urGiZLkPBhxssfmTUFORNKxwhnPrWH7
W7yBnoE7+5JpY4l/mMrcS3zjmGgGY3fTT8/m3N6wvDTZCQm5GtyuOHpzBq+sBt7bLXsIMbZ4nloB
zYVkmVMGRQ42QQduGnv2D6K1PzrUGdjrmXsCbI3WuL2JmPUNKHAsrKgYy/BECPx5IFy0aQz/2mT6
tGZ7MwQyE8lzoqVqPc75a+WxEkmi1L2uiRYuxJxuS71QQWXK8YR1xGcQU341IyYLryB8q/NB9LSx
v65Vkz7FsYkE3J1AC7LxIrtucDAyLMDNvm+NK9zJ6F1Ns3wEZIDIvtKHp0gnMAQmyj2bj3ALfh2w
3c7ImuwYFsNtOjprNxo5XBQlua5v0SWqswpx02LaxQSrppvUlt/5eMKCncj9xjU7r4Vq5brBCkrP
DUGhnQ0CoTO9ZHWHyNbIQ3Q/LTPOnqiYOdbPEefnBpgxiwN80duqYYsx1Jq5oc8L915a5JgUkvZ2
qEn102PZQDryCaASaUHKjUyPxlDjmSC/+aaflQ0NANgGxNlr8gyIUaYajY7J1Bsj1gmO9jhLTZOQ
V2zk6CnMZ6bArHO8wG5yUFl5lUdBVWtZQOG7j6srpFHYHaJhxEaZelAUtGm4lyItX1kE8fBYsRF+
YGSftVWI5AS7btwQrqYP6W3RGtrdZAsgF4fWHryVx3ako8wUw7kqsvKcYkt84wZsz7WW0+YCSAnK
NIMGgRYVrbCh+S+9NYdPpgGxqBnoW1aQSOhPCWokIqHNjJ1T+N3OrSPnri2n7Kg6pz8Q2S4QUtn2
rh/M9sNBzoMCAgDNa1X53cdUwFKVdc3DOHB48tL4pxB/8aHjh9yTL6dWg8OAMqkkiD+ztV/opcen
oU+K+w6TP4GbJiw+o6z+L3tnshw5kmXZL0KIQqFQAFubaZxJI+nkBkJ3OjGPivnr68AzKzuzpTtb
alGLbuldiES4BwcY9Om795674HRp7x1+p4+ykHwxrAZfIzn+rvNU7rkJJedYDPb9TJD63E9hsFWO
M7A3cBvqj0vLvue0tfeFAk/B9MFWfLZurBQARZYrwIwMFpvAbkDq5zZeNAm+lzE95WMLZNJ79vKJ
qq1Ckgcuq+JWUMcj21WhiVzeWEOUnDSl1Oegdagv6qrLpLPPFujQMicWbQDJF8yP9Mpr2tsVbrPF
LAbP2pneDJcfn88wdLn5tg/mj6oprXOS0kX33xKX+L8JCE86y0dk+bdJiHP82f5vyX78yb8tN33v
r8BFSgo8zJorjO8fEUHfIQcocDOuaUBigv/wfUr3L+l7Pn9AOeQT9AoD/M+EoP1XQLI2wLXDlZQc
hfqv7DY9eyVC/PNuExcLQUPfZ8fpq9UAyr//p7wuz1oahda8HAtO73abg88rN3ZAWdje9G5P8Y8b
6jdCvdgrTKsTsrMmQwGO5pbbnUHkZG9QN8PzKDDQU53cuYcut4pbf+q7gz3G3VM14vkp7YoMglss
WPXmPDnFfVVe8wUVO3b742kMej3eznDMphtdifa6pp8ruXf7PgqIqzlxAh0n9eLr1vPwHKZxlT8p
NGfcI8UM5ZKeV0fup4bGo2PlAVihOAaplTcepKSVeeqfRFC6wyljEnwaerc5ge31uAVN5Q8iixMi
SWj3X3xz5Ht9g21RR05/8Yx2EWwsUpSbkaLr4wgkGbMEknq1GTnqD67SQ3RoncarDskyqoqCpjC5
Szp7tazEUP12nAwLNc5Z6EAdhsRLIJsFiXdiGeuIk6KwuOT8UwmJbD1iqKPv3fqo+jBgi8iEcVOF
FTYMWEQ3RpIcReOuvOR6ouB52fn53IF7crxW77K2hZpb0ev6Ixqr/j2XGTOc7rvqtyRW9R2zeLbg
N9c1FSzJTE0lBctgn5mZNj3tayDn6ik72ZYcH6zF4uQkwvFrFbNSXAVxlO/nZrR+mEbN1o4xnEYU
xRD+YEkXPpNUUY4l00D/4n465JfKyQfoBODv2y3AwrraGoCH37oWwQoetPP3xeuYnXoYqzQfrdze
JGkTgEM1GMFN6sE6p/HbCq7tpK4Pdl0OO9ma5qGeGY7jAd6V01XNU5z6gktp4vIyXNJi3OXs2/d0
EdWfwnTTHWcYcNq5oc+LUHd2tghz7DkYaioImUBN4g/wrHA9HzvW1YfKtedDHGXTG5fd+RbbL0kd
eH2vU10lb2x08d45C7I5Nlb/B1CC5dmupumhjFglqm4atpkdjPcprkeWV1DKFcL4LdN1cOj5u4Bn
UiYY2nTjGdMx7CpsfZHhSxqXFjctbX23FvisFTIcnuFRVydZxMGhdHR5dEVcvLa2wnzqs05yyKoK
zQiDcZnJ4RovIE8+fMt5045j9hQMVPklMd/p2HMnT/zEXBN/YWfA8ftSR8wyuu+nM/cLkhw4FbeN
0JhR9NwGW7tAAdxkMowe8G8vj44csCGUsLJ41p1jLVOv3sWgHr59ZOFH1jhyl/au/bxE4/JqAXY5
5d5aZDimjUckaKrL1xz+yJuq0vo1q7r+u4/b9NWz3Ss9+v1J0U91nwoYNMyTnX4gWNG8N7SfP5YQ
5D/HAKcgkx9rRJnArSrjHINWCr4aKC/vFOxKGKf3ozMDknO0/BwXGMobNqvqRcoGwtCQZ+COh+Ln
xGx677eO/khjy+zjguvwbiDG8+T4Xniaa4qCIWbkX54J2ZhVjZDc/PGq3Kcemv8mEGn9LZPGfl0f
hIuzeMt37I1jvfNHkb8skIge52J68OjBwAQes9DYeq498n3SN0pTmm+/Ow7wkSO+odLdYXUN71hI
9WeMPNlTCOTxdxFnEyTTYZrfsqDMO/JZojo5hCwxzTqh883CHw+OIfqBCTOT+kLSypYExYj2LLkb
QZKIyk/dKj79oG9IzNDw8SBArEtggiXOHtufbqD8dPY2WtYGe/ZsO7S5tYeOtnDJTYCybZ6BFnzC
AWoIQ58KVXuG/UY3E+4Sbe9Km0aDfPa5VnCz7B9gW+QILBkfklrjdMK+KM1TJPMGMwLMfy6SvXlO
IczttaYeEflfXzs6D5+iXKl37BHZuRRL+GGN5lnUxXQDCp+YS02TwGPQ6qw4VSOVioNZJD4Kh+wP
jAsWDMSaJNuJ2bnRmd/d5uhbCYoCjofMnYI7goXwWtLFYhNU5Wp5HLWJxhPrhu45FEl+iYfI/ZAp
8Z9hiLxrwKyCPsJ0PCdgJ27wCxdn5JsiwusF6h//bnBflPN8GqrJPYNcsVo+ZAMrhFyMiYXPpdPW
wcf35VI1EDS3fBSIyMameoyaFLQDxpAzckjxyYoq+LSAch2JIfE1j47TftldR365SuRlsBMfebCk
Oa6JffqJ2vpXFEbjJw4J0B6R43b+NrMy2sCWYWwZFZMUM06XY5O0y+/QVG0G187zT71F6dIA82XG
TmHcK4CY1U06Zg53lfUnOlP4QB83i6cOQeQqhhEC4xthctsKv6gPyZRx3vp1ACs05vWyaWy3sOmS
G0borzk4oZg6wqe4m/vvVYfs71FKge5UvsowLBUeNM4EQ2DZJ/NjS8cCJ3tr2sey8opga/D+bWhi
9dQ2Y+VEqVrfcHgNOrszZmKIjhGhYjZqJMhhx315xRiaDempkeWW4yTXgTuPwUHKQbxoL09eObOz
ZIuhHPC+F1QDRBrLvc5zvz4GZExfgrhlo+y1fYk5k2qxbSb7tVwwXPBcDKa8YJVDR2g6k17juBbq
Oi5n542uKtZOk9teJfijKSg0ZXUeDFSPjuX+0yR8eVZBnB1CIzA5+1S+LdUyPiyl4QcS8NLdsAfu
3tygqb7Bwi9vYkTtybumRMfwc1pD/fIJU4u68VoH5sisjX7rZBuDOB8dxiH6BdwQTGYNOy6Ok7s8
bLK3Ct/PLQNbo44hfCYMkSbIbwI8Vu8BYHfYs/qHUHl9nHU27aSleJwjtezYd6kLJQIss3XB/TcA
pQy+1TPr4r3ry32dB8kRnmH+XkbcnkhxeDUaQltfw5cP9nG3CLHJFjmdJKWpZySO/orrDzXDXaPZ
RFqHBOGg2RCOS4AejcPHLLnmE2dReps7Xvbuzy2lD3Hv+Kc2FD6ids+eu7HF8Dt0TbAnL7NtGYz2
osZKaDsG9b32T+PI4993mXttd/6FOzZFjtRZ2t5Qv7VESo6DaslQeoPPGysdXHGcLIObkptx/oxf
XrxxwSVWg7XtlIwWi172jgmpeMIJ594iNLSt+rqL8I1K9SMw3fyz9nyZEDNNSOyPOQs8jh9S9ux0
6zDeEklpubNRq7bl10z/atizijHYd96TRo/8EAMcObPk+DyGqbS5KPfIunPJJzUgC7CrZst60FVy
IS7vPUSJCi+JSD1a6p0KrRerIqT+CjZtLSoLn00hLmwhnVOazxy9WLAPkYjVNk8G5zKqq3DNI6KN
rO1j7q1B+b4pxKiwVmJfmwJMdl4Zo2XaeBJQLKMH43f1ztL2nVck9h2p5hCEgxgfw6ZKbjL03APo
YitGLeaMRQGQICO8ZvR2Q1jJQ19wn7WBNd6g60JMtEzsFqcii7rbdmFY3LRcZ15damzlZumq2NlJ
JDV93TAgvvZRq/0dd/3oteFdxwk2u0+1B+cS/wNT4sFuyhy9zKI+c+NKxF54scEd69T4IfI6zBNu
NM8OL7FpOYMqbH4YbesXKqrnG5172P/xAuhXoyv3kZcdjEeCKPE7H2BxwL5dMkJbuNn4zJSQvKcI
U4Tb8kbtKpZ0SOlnyTf+HeihAJQ9RnTlZsybV+VY0C6aIyviZPM6I051QVLYwZMbn4q8dkremrNt
7XoqRzBKkiaGhQHsEX94FDlb1Rsv2Xsk1eW2xQPyaVnKPJeYmghNMLPvaiIJ95Q49e+Vp+d61yAk
3/a+h4nE193WpBYjzqwGce9j/H83MI+6fUyVaHFvyhiXQt9QjrtzY0VXRGCFmLftYcIlLDBiOaep
horKJyIo0MZk8BYC6MDp5YWwvTOPR3Vb9MS0KXhVZGvqcqZXXC/2mzGw8Y6dFv51MI/jBKAySl4q
Mh/zY0GwuT/AV1XfhgBvdazR6+ZDKLrV6OZRhbyDMGri+85Z+zryvCLh59NVwaGXB9g3/PmJzwx+
SKcw07aLKeZuefsTrhtOLZXs1xPlN2+8ltwnTavIJknDAN/N3D1Pc2Yg/uXL27hEnrUJ4mTCMLvK
1G0sctjMjV703zKM/9/09X8wff1BIfFJ+3e52AvHa9/+ayp25TD9+WP/IEU4jiSOIHxsXurPGuRv
3q/A/suG0CBZmfDv6T5gcfKfpAhFmlZzStNwwIPOAuN/LEjgLslAKDbpqzlCUM/wPwVh/10wVmn7
XxckRJlQplm0K60JyAZi/ff/tCCpy8yyZmVzPcEyDBC1kxsL0b8YCiiJwfSDEoZoM0wxxY8moyKn
6n5PUr6l693Qy2kpaOCnu8341SE+bjLqdvbdpDF6W+gWE6f+M+Zo0jFEp5iU4PYsA73QS5M+ata3
u1EO8ak0GLaiqMZKlMmNSeYYKqT7owrqBlVyfqqU+F0w3NszwMscc/W2DFK1WTIL8c25c/KWPr/K
aj7iConY5VJx6uaZtKHrhPxfo+EjMfnJWqqbNocVx5wBobrQ0QM9VQGal2vtRUOS3nbSEi3Yc667
VC3n2qr1TVxSdb6pPYWULPL5NQyiCx3dn2Pc/shEx+dzwGp5yyDp7tNpCnddtQbk+hmikVT9E3Pg
MWszdVNre7qSmdsfFsIpmIMCax0xE8R/r5+ncZO6dv9to/uYOQKD3jreI1WMsG/qeB+TajnOhghY
aTXlrZdCXkedDH86TWSdtGq9c2wkLxLdsAUYA++KqrD6LPJI/+z0/NFOQbx1iqVB+hgMigrtBHXp
1D97HVi3ocZOH4w1xBs46TtuV+p2ydqeqr/qd2p345GeW+++5TJzGCPSLX1q0+AgKiZzD/gprYk9
zuCmPTfo8k++Wb7QzxiHaJO6H/M++0HN1g/lE7EaKVLmGErFhspQKkKzHhqRinfLzC4/G/LvhLYs
0O8Qzjuus3rgP1+6nCTOCBh+PxTizEnBA+AjLIq6pTbLyy+J1heOp/TsAxLcFMSeLobAGkBXfGYr
Rvk2baL8CTSpz71/IC+YBc5+TCj17Wr14jnAhzy6iW9Bg7/xvAa/J1F2e4HWd7fICsWziwvUDnMJ
rfASzziHqondxGJe00VlO/jVwdGskdLJUu85JcSntDNPROmmfUYqdaNTxxyKvupeRUTfqqv9p2EO
LnT+PuBm45nl874dyBdtqBMg6hKQQjtOWPDC29SRDU6sBTRDGSarYWtu64fVKLe3XUC0cZvl94GR
+R6OyHjFaANqjGfwPurMcIYemJzgAnIQEd1ok8Acl474rEiZ6CACO9dsB9MnREL/KElTI4maVzsy
03MRFHBKSPyf7I7bQ6c0nWupPGbJULzmIOOJy/nDfiS22+HOJhgc9Fb4juGQtrpMNjdkGqPzQnya
qrnBU4y2bit3fdj+ruq23LEAjfF9MuXoQk2PMIMRyCaV7WH7Mh0YTfLZd+7huJqdH7poGMGYPI42
WsNc+/29SJcCjK9G15uDEylo3G802558kbKBrBf7Mcy6addbaBFzPHHrE0G9FSb0tmvqcZd1I3te
GCJwX2K3zHETwfTCi6CRLa3+bTaBfumj3js1/hy+5cLD0ii8lASRYJOnvPgq9Zr5uvHc5CUgHXIT
VQ0x/thd5FO+2NYdAzR75yBP3/Bzvom4xaek501kovJUm+mh7gb5G4Dz8JSwb91ZicGU4gza2yRT
xZiHv8MLTP0zcfvx9wDf5t6rnfEczHo8oe/nW0XOgvBhnsFuid58rj93Vutfh1YhsaKusX26XVZ4
MW3fFZ0AzfU0hJJPbuKku2ICxFsPsXet8iJ9GJeQtandpfcxuD16zfubXifDEZd681aKHooW/Vh3
XTP3iO/s2DDdyz0ZOX6crCVfBoqjiGLNy1MYL48TQf2d9HGygDWB35b2j5xD1uo2bQ6wIqKf2DmX
k51bl4it9p4qC2pZZNndV5lPf7y/YAwu/X5XyuSG/En2BNqrenRTkKQFYe41jmKxFSecTHoo3OEM
mcGtg1a6slyr33VW4+5CKjqPos3am8nCam8VjbcJi1zQh+XwFk7c34QIyx31F/ZWBQFCoP6VMJ5t
w5SNjAoIxU24NvbZkI5bxPdlj8GA10uYkQwqqWNVVJj/+Rok1OZ9lIz0wXdolf7Apzl3pd4z6QYk
1GOZAghyFc1i+I1+WlFfQCxEaL/I2v9GHF1toStv7OSPsb33pX8/OH5APCXDSpTiun2SY9wfcMty
PbDSJ+Tj+tYTOn2tA1/jGHXHfbDEr0Wpjy7QmR3CSltutRW8L+y4Dk1Qf7GesjCI5pehATuQTvO4
K3NxtwzLbQFRfMtpl74AD5FXPaR9bL/8piGXhQdnIGDjF7x6uqD8KuXys/eqj8GTIT9U4pBUoVOM
4hmSe25WJueJlWoSI9f5JI3Z4JD9tEFDzeHgb3EcyZ3fcwdvF3jlKoWXb4asvYBloF3ORKv1pCtO
zlR9Cou3kMbKFdKuojv35wxBcVTuV0GGnYpSu9wmjvv136L1/T+HRlM2U+i/m3VvP5EDPw2X/H+Z
d//+5/6uBYq/6CsOhIBtxmjqrVDQvw27nvxrZaX9r2qipYR9xt6VYJp0YJWtI+rf1UDb/YtCOlCi
jMBSO7b/X1IDafpYcSv/IgcqXylkJ8fxgTsgPf7rtCv72Z86aU37uavlcNIo1btpMDgwllh9R1kX
ENIqPFBZUzAs7caP1mid/SdlZ+HP3VPM6pM8N271o5h5adwNvVj/i9LIX06j7TVW6Vx5k2L90P7J
++V/sn8sK/L60W2T5M1SyOPPYlZj9Uhpbk6PLRAPkvIKKNimLTXGGZWPwPgpXQ38Tbdo+kP1QNIU
7UMyh/4tNgtqkM8xAkX0UHaR/c3uRDGCYjKnqqgPrpo1FUn/oCXveqSmYmfHfHgABdg0LI8I7Dei
WaOW7pq6tMt2PHcUvvq71kViuwv/BDVLn4DjE/nkH9gbZ4xkliDl2XiSHPoYcphNSYyzHa6cSrGu
OECpyj/RUQkBgN6JwWBFaqKU1KhvFfrQ/kmezrJlBTLSXJzeG0cAD4Go8aIbSjIt4czRYTH+wMDu
R2N2bqe6Z1CI2G1AHVbc0DmZc4MaQpZWdnZGPEpwIuDlindUmuERXYO4Xm6qG7v140ecNvW7Icvr
tt2qKEwZ9dFZULh7Joq1RKLX/ibAtP7G3wYlZ4jah9C1/OoKBxfJ4uVPypi8pnqin2iJbtlfsGGg
7lDxhv6TTy7nBefvWGlegSHQ1uVWdV5r0WhNYH0rRlYfJ0jr6VvrL2N/7OsI2zBghZn+pD+pap96
2Af6Suxxm/ihoStadCBSOFTBwFTMCCe3CwgyGPA4wZWgp7y+JnhN0JrbYz/ghhxLFpR+t7oLK1nt
o0Xyz92fkLhBXg4Pc8Z4fSXmyswoQrR37mG1ahz5UT1dTBxb+Sldw+j1Gksv4jUpwzL+qzKhPZ15
6thiiD8B96HtmKtcu6JgoxWwyXLDHrJBJGI9aPlDARsj1Oc0FdjNA7ufTrHd+wWdLJHBFgxnet6i
rldn7IDYZ5O6zfCiJ/Fjm3gPcEj1izH9xMQZNtZV1Nvx2R9HT2yMXdRvfpnaT0gU5mNhDmIpnqFQ
sIrFuWT58jlsB2LlVZ508pK0EUOQjbm92fainp+T0lm+ipiGTbalLYUufRXb923PumuDEVqOezpc
6uG0iKi4pZSWEo9JVZBARDoU7521NPdB6hGeaNHj6l0ogow0heuoC1iyWm2ELJh1fct3OgSU0r1R
XRnToBytN2OAJ5F93Tu8E2CaFeq2rXEL7ca4mqk1T4uEwjvSHntvVjztdoQZ364JNe0qXJcb5Yvw
1Vry8LhQhoz7uSq/8trqN3lL10wUquktGEhsNyb1vaPdtMX7TMdcvKlZ7N5DzEGiVgXxLZEPFxNp
yKc5Nn3qSIMJBUg5D3BUSLWqwElP/YBTFwweJL5UDLI4NaJRL3aRmWszj9GHmwHW3S9dh5+IhZyH
3dQhv34MkM8PMAjin1NtrbbE2MekvQgbJC+QRm5pwrmaFg8sqspLzLGxXues0NP5F0Uj7ZmOh4Ce
n8lfXiE+lb+wxw3BYcgpqT3GnDhgFkhSE+wdhz2evfEubirrKlRybU/ESDo+12MScvsmaKx2MRFJ
CmODoiGsLMP6POg674/TTBnlxiyiTnd43jWXwZBndeuKxrwN6UzyZZDVNgDH9WFHoVe++KmxBG5i
PiibALzILrQq190BpNb+r4J6K3ocFufotiOPZ/y2JJb42fX5OsdV1I0kWUv9bdzQrAPLgVf42mEO
gQbyXZQ0XN4NshM6Z8Brn20yjLs5KC9kw6j4RQpn6lQYWQtuJpdohkG70ZLs1b50bQpZ6B1MH0Uf
egruF7uUDV2ZyrpWi0w/NXvrgSZ20We3ygkBCpMkm7ep7RT7WiZCb5a+7R/oDIkuxK3LfDdEk40S
6yT0kthuw5MYuKW1Fs4G40swU/rA+8pOaI/jJ5+A0FH6kVokS26BLBGuSdBh6x1uLr4Q6cb1U/Kn
MJ13A8QTwr3kDGIyzfIqwZyEzgxlZl/yNkON96Bk4+cUJx7mhYtCCR1tmqo62Q7MB7RBWUkbHrrG
DU5lniZfegq4l5ClerSGLqFAsUmWX5mycuqLPVeC3Eh7v9rxv8BuOvTpQv5LZRlWhzzo4RLjl9gW
VPaoje+vPwQ6FTdizLgJmWzhgj+3jvPpNyTFtz616pe58s1tJeqR6p5syrBCZGx3A8oqCG94UXE3
oWygr8fD6zgTzs5mqIUHYcF0SwuBORGApBlus2CZLwMJAorbUzgGmyiDTUFpZE8EYVTziYChfReO
MSQI6JFgiahSGRuQwdFS7XzwP9zepji8VwSK55Pq0zp4mH2N8mKNXnwL5iR41+7sPqbSot09RRvD
LPuEepFcE0DpYlouCcM4vOR2YTRYJ7pLxMoI+ZnW+bBNat6ZUpjM+XBbeDNwHRb/rUPj+jY1gkms
GMzBGdnxFkhbdiUmhFLeMWvGO0pXOCae8LGn1nNui3Q7TDJ5YmPlne3GE/I4OMAliogSDuxO0Ars
KEq2pLRiEBrwrjaqoQ3Sa6gXm7yQatFmoY4aN7d+Upiuso+YXcSNHrJxq6t4OU2FgM1dQ7TdxPUI
ty7niz6mUTXi4rRld+ziaLyGhB2prdBjty+9ZPb2dpp4d0Njtb+APERfatTxe2zmi2VzsBL/Y2ey
9YYWw9NUK/BKWrB98HBvArhx1uy/s4CCxp+lfzZWXIujXebSOg9pemUrItqyDf1HauPw26PFXHLg
Qh8utYrVnZM2wzd9tuXIbJDJ4l53MQSnOB0t0CRygbw6+3VBLpGaR4AA2fQzklHwRY4iGV4ryE/J
UVd29dVg0m0f0ag8by9pzQgI1kKUuMHPzI8xioJ+xtYc1l9OlA/ob0rGw1WILR0jMeMc6yC7ory9
LJ3huRE+Wfgks4pnOt+R4qpJFwvW+eZpMHVWnd0WXWZDy/r8OHu0tlHDGd9CiklOCQWSgO6ntjtS
or1su7wrIC8o9i1bgAF8TBjEu4dkaWPyK5F/LlMroRJvZLGjFHGUohup+Zig34VVne8DNpac5cwg
X61yphe35GbZo5PtvIpLKC9e/9UitjUDCBF+d+VTXFV+zmUX1EdetMEFd4D66nEBEF/mBnzfY/56
7SdgPSk6mH12KEHEZlYRismbiMYZoexXzax2Zzo3Ogb5AEKcRYcujm6hVb4XdAxsprmuqfrMavWL
AzLfcWTR0gtYz3nrQvMp24Zt2jTkSDCRzOpvgCREQhO3ttihx+umIuwZOIhblK9N1EeXkTVHzexG
mFowLz6PTT65BCaDRv7AZNdsg2bJx1+dYiWlyF3v7DDZT8zkn/a06G0/x89pJll2SIc3P554siUN
GwN9Eos9LDcZHKX5gKW9T++SanBWK77lpVQ+AZg7ydqwE+Cf1qJGzpJ4K+zSjw5J09cH4zUOHF8s
whfTGC7aiYwk8ePMTvDAcZTHM8Vm4OyjJ5795cT+QELQ8Tnmd+XS9wSPE7WlDbm+FrlxDtJiKkhy
9XtVIKgVW+Eiceun7pVJISy9FSQJIe5IJOZNUbdMhIsj7NvaafoHNU4QY9J6M2H72Tc6JqtYBNXe
wca1HczwkfVj0hxYzWREQnKvDTB606TVTEH3NFrhcoykTH7U/GyvSgKt2RaXWVadEiuw8BMWKkn2
QsdOBirKst5jXNnWOSXzG2x6p/BeRrZxYlemykYpbAcodbmPGhBy0N5Far2cVZ7JAOmDPn5O5inM
D1USpPwK3eUdu8n4Ifkq9C4dY7KWPj/veqdwIByV004fDd4kwXUsU/cEd8SFAZc3bLoMDOt9G59D
p5p+F2EzH/Ts5VetjavxBMFR3XJp8MNzk9byZ1rVzg7bdYHNqo9BTMRLgACxZNP0McmV9SlLRSAV
aAUbzgZ0RMBvrIMI6WTpng+z3WxwGtBKbS36xmQ5bLuY1X7C2FFGp5Ai43oHKvowCmxx2L/d4l4K
hiHKzERin00Qh/rAjVjQ7UhEglsV1xuaAV2Sm4HK5IfbcYBtl67n/grwQ62QuRwXVkijxfzCetcm
kdI5QXpI0HS/hqZ1r4a4t9+LqfR3qOzwrGte84uE07JxYbsQz+2qPa6KbFe4PsKSLLimb2cwWNWm
kNp8KKsJ7yNvcI9kjeNXwCnk6aK5Xn0raa4fl5byzHNTSfAfJgg1cemo1HuYfvjX+zGC8jLIiLmG
lqfp3q995JOoS4KvBL/xs2OilzigI3LjphoTK652Ht3FO4CwEUdc+P55NgQZfIXppZ4Sok5DI3Z1
q3W752zOcZpiE3tqQwJpTtt78y4pE/Mr7WLdHZD/upbcapmvV/buq+6W4R7makV0kqAwrY9VFHFI
T7P4VN0odnQv298gdpYnsLHoH3mib+BdakhTEUaAOBxvCXxcR17gEjV36bXZNvR5YlD5ZVhEPmSa
KHEiS3ilMbck2YijSVmTjoN23pYl/uJxA7K21rOyEv7Kh4SofegUuzzx+XmnTMjQYO8UYflz4Rq+
oKGqH3yO4UPStdEHM0XBpjCZ9bPKPsWaz4UPwAZvKikrnN1yj0rvXmU0DT+HdSeOrU+ElhcnoUvj
HG2aE796YJSnULTqyqmz0wJgPML5m6VIBnV5SLF8PLe4464hP4mfQaso4xjk+AkbBVZLmIFqCrpZ
TKc8qzTI78Uefy297kegunYDV9H1z/SnMHQ1ku99O2Bk/HQzTQPIohv3Zu6d9lRNzPSZdrxjSvnb
qUbG4zGps4fRd+Y73IBuu3EJG92MYHEDwDPd8ntOTUaFORPk1lWFf5mRfaED0LKmTam4ExMoGSmV
30km+d+5NbXHtmv+HCY/msD0hD+ISN4azUsUjnuVbmu6YMJjUQXRqbPnY5PD2C+7eEK9BIKwgYre
vTDuNiwoZlNvpz93DthkuwaX77fvxAHkrIqo/Jwu7zYC4VNJwftEICal1Viq2VB20ttbmkYzOLjx
0a3yq1FG9THObX3fZ8rmG5p8ayvdqmTYsQp1cFjsbzGquDdDzv2091TzY2zFtbdKthvheu5THqju
hFVieswFcKoJqy/yYZn9aHJHAPsu6h00hfYOXI+9V+UsD7VLuCM3I8YMZW+ZaNyHuHH13vWS5Fxj
d2ywUrEp9u4AVI0kgzx1PbvSZpAKFjyARNFK2bnckYcE1mREXonDmLYR+lhhsxY3vKjSPR8Z/w1V
FfRQBOpiix0qoYE7usCBDQZYGMN00Xoyh9FUqAhN0Lv3fkTDwyZK9Xw75lgqeeNio6VF8zB3UXNe
lqiW15Od1pRnuhX4uti8W9i4L65uOmRx4qQvyxAw7UWZg08rFUevyAS/1QWLDWGwbVtGHSt1oMZn
orCMIWM87gbXdZlzlsz7OZUQHyy+kamy2Rd0S/F7mL3wyPuhemqWcWQcCq07qk/BzYbjW5dysPZ2
ge5GM3N1dCdibWk+PZE08O5qN8Tp2HEd6DCVcL3Bx+8m15B/yytPtP5v0TkPVsjYTZ/fwkAWzg9a
UdaNsDJvbZNbm3VxkgIaPMZT2l2h67GbmqtFv2pZuO9uZiG9gWQeoj659poOox73DXhaDLagJt35
55Lkzgu+U/E9tj2RxyVwH/olOaaUFXQkr2YaGOIB6gB/F+ajJf/VuLY0e8sx04nR+z/YO7PdyLF0
O79Kw/cskHtzBGwDjjlCilBoSA15Q0ip1OZMbs7k0/tjdrldVXaf031/Go0GCtVZJUVw2P+/1vrW
hNswya9p44gDbEm9reHJT/dmGsJRnEB9+zRWklxqiC+Ps6MEx2EqxXH+E2tACh26e1Pm8OycwuKl
918umn+1lkwIxN3/SFlYR1SSxRSSRX8kKOG/+f1P/gOiRIxHBPb/kzPy3N9wz4hl3fKXoJE0f/MC
i/Ju9HMIkez+/yEt8LeYsyhpcTkWQ9sjOfRv+GgsDDl/EhbQOugh85xF+2ByEX+x0fC29cD6LUUK
Q836VJfeq4b5efYFVSwwJuqRBaL5sRRm/8SZX3wfumZauxQXQvVsmIG8vqy3HsS319rqcdzmPLEt
P84+HfZ4L/+lcf2rHXmWu7Sk/fP6n/+FIfr9Bw1Af7vW758/m79ek1woyz/gd3OX95tt8TbB2yUc
K3Dos/td78Lc5dgBAhCiFxen94fwW0DpQeDy/6ZAk6tZ4DD7P+E3F5EMrFfAP85DD/f+LbAXa8s/
X5S+SdeQ57isbwXN7p71l4tSqxy6yjL4Izsp9rrgK+4A+nbtRoYdxkrG7izBx1lUHXSEmgs19vFW
b0iYiaPh28nWtUS9lLI57plFOtJPP5LRZUPYxG9zzLjKWmsEekscBq9H6ZLjweRhbuvBBFfFljSP
D+SDqzc3oy9+WXsSzADWzfmV4rIGFzW/wTOlWvbOgq7HIgr3iDkNouZHQYuYUS0YNGzstQZMkAw/
gPJxzw7BAAywS+LDWNaksQXsbh77Y8LxCbiKXBk9pLIr1hkmKruq8nw9OdyOhSnt+3YYq3CVakwp
S6kyHgpt6CZmVZGbX1FslvNWKz9oNzaj90NBYj7bk2RQr9rORLf3/XD6gZmhvVZJRpfxmBcI5ZwI
oQTWdv/OOWo8UoQBQCOv3PiNhEGD8xuE+HooTfN+HFyWf4wpxDlQdyTjGVa1pBCklK0hfGpdMb1a
g/LbVTGLsGUdVzKz+16XsHiBTLRi94d6VS0FTCK3hvMwzgbArAx4wWzH84XBvrMeRV1Ka1XbtKLt
7KCSwUvfQseddNRY2ywwNTUDhRJ6P4307GarTKHCHHXTOLhtl88l3epZNlQMZF7kIxGRkSSmXS8S
V1W9ikbirZr65cOKjl1LGWxbVGykVQu9K7D1wU/xy95hmS4AaXkRAWOOTYpFpUfLckJsiq1GoXk7
m+MDm9+vhJ3stqDpd03vQngsja7HlBCKVa0tsYOdPa17Yu0XCtRZFUjGkWm2gWGlHDJXihMNJzgY
aBsZdN4jUMYjnQfWUoEYBjh8u3xrJ+EjAonCMdi/iEoS+3OL25rrY+0HzieUryPF30eG22JPlzAr
oCYQ67FI4q2c2+JMc0JxcrlsHnJZGRxyOOomkkV2pjWNsDZnqKCsTp2rbyMFDZ1yrpQCbP9sW2Zz
BroC/bXP9S0cFo9v1Y4+7b7J9j7FBC8xgOFLL0mzEwYHp4tjfmUEhCIcQox3bIu8rUSwevAIPF3I
kGPITh3qEgIPS8xIsdI3lY2PaVtBd2pTdZy6YUao9epTxYIDzkEZbmDcICWVyUdpJfJRl1a6U4Xq
154S8KzCbKkxZ50LcAW6Pynw2Gq7s85crFVhZOptMjndE8fHa18RP6AOg8i9QwdQnUTtXRhlDQSq
iZCAE8sNZBQ4QGx8oTKrqX+wTYvQvWc8Mgr9ZJtzTQekBie0SBG2dEsUSePd4fxQr8rHwBPxd1aQ
eIpXkscVDyP5ZPdc/1OOASYPPzMr2ltdERDknM2fdQJXCOfZTeV69BcO6PnQ8Es6rccvD3BVl0fU
JQwG33wlaR/M04UDQPU0zSxQeEOn3oeADlcyJpY0I5FCVza8VdHkFBWJclwPHtTibHLmV4Ofe5ck
IX0Ima33EljSGX/SAsYyhsfUKR/dNkzAyeXEXVHbdmKAQ+wDBdumcizu6yZutpaXqVXFkvUytykq
IGE6KAZWCL2lN/qOtighkYcWeM6UaTJ2Zgi5L06YP1D9h0tA/dnWpa5+G7Du+tHq+qvSUm7Mzten
0Q3lLrKGYNtaLLLJOeRXB7EUaHUjTmMm04+yKoqd6eCuB0HsFFebWhSmdtM/cCXwJOSo0rCo0P7L
EAj1WaUwkP5+IP6n1Tiuwxnwj0cm0t2clWzpmB72DywVS3XOH5zHZVnrKInM6OiLpm+XyGjuwoQt
J6z9ufw2lK3NM66MMQlLzS6dTsjiqdDGtK2ZRD87HLTJ7URhMUN568wHQ7hkEOrl2yc+avGaGlhu
UjLuhViUBVgEc1X4VnR0utwf7kY7q9GK0nkgNkEqcfLMQmarlBCEc1PFs3+eZ/IrIA95RMFogjaY
SNmSW2ibD0OKJZMRuS9pM5Vrqh5QAT0PD8LK1PzTifuS94Yd2RzRrqd9x/P9ZlaYBLJoyYdILMoO
jkfMfD17ItFh/MtKemeCsH0O2EBuiFImq7oLcFcQNq4JpTgY96Bp7LyR91brlywf7ZmE64CkdPDd
2mAL1VtDn+09i3ac1eibBArMyclvkVxBDtf0kZgdvB7f86bTkm0/ZngW53Vtm8ZDyuZgS2Omc5dP
jbxiGlCPemD/IesU4GAF6ob1LguPxCrvMIc6ax+i5R08QIfxmSUkjjX6Jyjj29FdQ02LORGmN6N2
J5X/GDl+sW6c70Uy3fRB+1621p6gIas7SGmXKvno+/qBSjv/lnnWWsNmrzfE2puHyEQdjEo+OM4b
6wK3Dc+VAT8FS4r43dIOJsTMHled159ao8An1wGqBFJFilW6V5BIB88O2S6lIoWi5mbPtVcBhWlY
Dxxnr3Mz7KRNv8WSsWizdfGaTASYTVF9jKhw67rG5eHMQXGwuDbvtKetx1g5PzxozQ8lLrcvOXTd
oh40amf4UUNVArXa89HvLFudil7hmcsmu3pFeyk7iP1eYLMY7cFbMTMjbIyOg3o/j+zPg9ys3uH4
pG8tdaXzI/XcAk8qbGVmhUDpN4tU7cWvWnkhRO9+ULGN5x7uEe5DRxoffZQ2MbJmP6wLq3UgVZrx
Bkx/vxZ54j5KabQ/ZCYCYs9B/ihg9OHbU/AOHfBxCCKdc/bGqD53ZRf0awCNiP3INg+m3dpn+ASc
CPTAe54N6calX2/ruob/pFkJkamV7junWixJnhqVdWBfnJ3iYRGHHcOK8G9kRvowFHpg2vYryea9
Tkk4p1neJmuWSkOz5WGH5Z/VNd1NPLHY+9dzt6znJnXJW4VexbuR1743z1uLnc0DG7j8hVeL/bMr
3e7A0Yv8AmZXey0rzTIYiAzSsN9huJ3g6Z9GP/bH7dBZxbPrJOk5nVJ5Ke28f1BJELx2jbSeoDEb
O12H6mE2Uo48CG3FIz9G+mTNM9+ujnk10eBinlx/6G9AIJDbdoBv30Zp1kMpDDRL8LBstqIWb1OF
IzLyrAH7zJQmbxlwtNcpHL76qjPMtQVP70BCbScwifDEchJnn6bT+L2WE8j4cOyW+HPh5++NGZH+
qzL7NRw9t+IbRd7DTAz3dhV7hPx6P5ff55RFMy8l443O+OSBBtvgvWr0+GSRxL5NXAmjYSxEw7mk
sJyDjcEj29om7VUrq6QKOaau7Efn2skBd0mrt3Ik+rh1uhQDsFXGy5ptbKfv6NfGZTCrnDLbMGHZ
STNMemPYiT5TWjFsTATSTxP/c8w91/gvVmHWyxgM+ugGpw3o+1iY6pV0K1VecOrifF0ZdY1nmZfF
m1/X+aMzQCAcwpAUmdJq7TedbWwaOyzwTAWcxFZDD16fh17TUUrRjxSAhDpnfTMO4jue+ynFvTNE
H1PClp+qjqw/kyhuWfCG8BWz1GvmG58ztmlVqbohVxdXOxxJ3ic5R+s2jN3uFJEDTfeeFPNzC5sQ
w31rNQdHjWDQGie6tm7hf5RYJh57ixFqXC5Jhqd0zLgIFDdhDqWDWx4Smb2uERhuZ6xcx1haAfPP
mANSbFtF0IbFhboCqpifWjOmJykZedh7hB15is+Z8dV2doFzLSe3ATvYdC5zQOSBV4bsz3ouOgBN
Un6QOpuaHZe8/skaMj1aNIxgK4y1ei2I3Ae7NPIUzgrb/hJx32+iXGV6m7cxNm0de5SmGT1JZgjt
+pmkMlsxoxjzbWaYrPl5ibLnTH2k+hZ+WLpJWZzeNDCL7hI/DB74fAoqjixOnW5Tv+Ww9ih5lUWx
qTm8sIeOdfWWtyVWrdxvUahCI3a2lhrGY20bw17mPAEA8zmUYSZeuVAAqrG8s+0qvuuQIOlNkQ1c
RgI/h7qIyQBlHmB4rFNEltZRbHsl5S1t8JzhXEJ4L71vlmFNH8wxsgR7hclpBZKSwlVYx/Wlnsgt
rgnfjNepHl5ZLj2y/NRPCElE97GflYCvqKe69ukYHZA4nXd3NggzdlPWXmK4WkftkAKtRtG8dgSp
v0ZFinyDZcN/LM0xf6TYTz1PQ8abKO0JC+R1js45e3TDqcIq0h0HYeOsSpL7u64yimOkEgLVsYy+
1b0rTlMh2/oEapq0AckKRHxV+8OlINd95/ljT6BDzw9unI8rx7Obo+f2/hvY7fGx5rhFDhIq35FR
yVU7i8qbY8F5s8ZAM+WbuePqXAsxld6dtmj92Jik2taQS6e9qQf5TgqzPnbaLC/QcEeiPd6Ur+za
HgLmSVax26hhnw6g0xivRj3k+Mic4YeHhftTVRmtKF1Cp+wm7vrlxMpz4p1xlv0zIzx1fSzBqZwz
MCGMzuBxLEqmZ0VPqUX2cmkFC4j+M0tX0dBsCOtw/NXc2DTlUtKxMaAGHpO5a59sJ0ssxJ2x5GiW
yULtlQETy7JsffYNe9xnSxyjw9ryWtFkktJTnLtcw/Xy3KS4Y5IbnueSgO7Y5tcqrTkF9EzC8X7U
GHEKmLwwQgNOReiGWCplXNGwambBvKp0q37M9SxvGh+5b+tr2j84PYBs28Ajrm/QkLQJdTicptOQ
9YY6+tQXRrSRldP3isTt2uyS/NuoA/3ToRDhaBpB8eI4afQcQAaA7IXGuh9MwzqWlt3uESCInRfE
l+APdl+pBe1vF0rMX/QUFRlFDThmN5MVNjvMAMaeV9KCiqYnpDcZxnLhMebjHksx33jOD9tTTUeg
pnKe5sDKkEkYIlXgnry4t3dTlsltAbztETqHecnYzmyEgcwdhA3+sXhMyofGDcIf5VwJ+n5q/ZiZ
WCTAvDQUM5SEL+h2kfEDCDVvB5Q7AytDo1SW2uMTiJriyOjYJJxmS5Nax8HfBEUVnpvMdE49N/wT
RF97WxvZdFAeDVYTBTpfJaaZO0fUzhOXPSfhxD5ZcYOf0ArbV9X29k3uWjP6H2zNyJHdsVNLF24r
i71INTVuziNnciwz3qhvEqXs26iT5QHyvftm8s19hDJRa2YgZ9fHMC7D2UpvK5rnro03EZgL7FXU
5DnuYsGeoQmF+vLt6Fs44pu1aW3LsQbtOdtRN8OcuZ2kU9+2VfuGjbzY0xwz7AOKLbYkFNMNmUqO
p/iqsJhCVMW6dHSa+AdlAOGyrUjBF+N5aKXDeUB0JxGFINJUm92EfiI2mErjtbLG7Hsih+I8Q8QD
a8CIwNuhOQD0bQ9tksBRbunK4Pdpdl5sYzkM9rQfB3+vzP2nY5z1l/IApjhW66ZJEtGyLYscx5+n
OIPHb4HhzTuKPobwhhM9OPmAYC8VLXXD2uESmlDbPAsauKx2NJl6xyGX4fif/SC/UF5/8Pbzk3hQ
zUgLELa1SccuP+kf5sm6C/UIwHM8TvAmkr5pP6JADvN91RPlufMJI7nX1Ew9uc3mfCB/VzL/uX7S
WtsJxyexcqx7o3DYk2FQV7t8aUJd/CS5fkeD8uyN3RjOi25Fdg2CkE/eldmrr7E9yV8LuXzorQ+v
GEnbC6bGF9YfVCG3rXwU6Mk/6ijk4N356ptnEvpfRVrFr21MaJBHnH1GlWQp4MNt8AGUwsuOxntd
unBd2cQG22k20xubdMZGTqXkICHV3VDW5br16/bB8/LpxhhHee4yxeuwcLKdHLNXIUvzvhXq5A2W
vxbL0tJb1pfVr01mP7Y8IQ0jFdGWlStEgl9rTxyjrEAxUZpf+HhZBwik1U8UT/86Omn9AI3cenGl
qaFwpJzyV1QYVJuxdTrwzVTxHeIuG+GPYDtfZ79O99avkz51sJz6YX0yAcR9Ov1wippnp9n7d8mv
OQEYlDyEI2+0tsEnvpe/xgm2Se47jELcFmngH41QfFPO1GGsqBXlvWxCMWw6ADiCkgjYMrNQTsr4
4i+TTL7MNO4y3fjLnBNGYxtt/Zn3c1JOAeTUgYlomY38ZUqKooHKhypH1db4taC+13R9L5NV9mvI
Gpd5ix5Q9yNYZjCxTGOTwXob2AIjGrscxrUqiMT86BKXfnNEVr073mxijZpaOb5kruZDQlF3Lu3M
fLkfbJddOIv06rUOK7f4NCIXq1PkdOqrRVXX1z+IGde/3w5/o2LpWsZF2/yP/yZ+Lf3/dJt4JkYP
SzgCfQLZbFGy/nCbdIWb9DLidRJz1jpXxqhuS0xU0O+ApBAW9I/ar/NhHSLpb+mPuPOzMrzF0Bfj
4XCH8eQicbNNm6mZZQMAeKmg6/yBqacsNjZ70tc67xGbVSz1oz1oWgJEYrMDxK3seuNdnoVkgmkO
W9Gx2N9aft4uluMx/FEsAB83rtyjG+n0XuBIZ6VPeb10rUf6du8KEV6DbLRuAQR1bIBDENLqkXtc
Xkxc/QxmkKIN2+x54png0tjXdbyyte8eolg7/ap1OaDy7jAPfeVlVxrezassrd4mO+tggvZgkKk+
CbZq7EjlwiUhkcPY1lx4uOirXzfjruEk024cdssDZZIyIHwxZukJKBYG6M6qXVaGblV8el2jlwNz
x0HSaa8i6Jtn0GFgUCRVXLZDY2GgR9ISFvyOtwhV4Q0ZPKdHAcLELmzTaB/nNATz1rU9NIuk3VGI
qg6Fv1A5bYAx/H61O4JrTnrq7oKA11dnhnsm4YJUE8A7Sq5EjYPQ6/rgAAI0vA9xQHyAQgz30Cri
bRgWoE/ZjLApiH3CPE5/yhLYbwJL0YXV4sxVyaEzSwLc2UFkfAfVRYUsG5y1ZcDxSePEF+x5K/3N
hCa3bpX0Vz05a3IQZEtJ73e80maHZjFE/7deWPGTETXiWSd5gZ9nNvER95pH0zgk9zM+4g29SISS
eUpBHCHxTTHDQqyOiIZEVvKtwJrMUzQKMGn4fDKnGAIl2d3WDW+XFsu960Um93WQyNsqLx8DYu0k
CFhQQAXgTTRHjX3v0n12HuYxy1nvYJ4HOFa0/rVIww4S1yIiWb/0JCyuHfXUv3Qmc5Gcara681pV
ixIVNhmqVBBTVLcl3/tBuQOqVYB+JX4pWY10JGmIwXsGvo/SVQjDoDYvBk+zinl6F0R00+pNsd2L
D+QQLHWZgb2a2+U99ml3w1gzfQtfcxBAbUvKfuhWVU06esVkIIEj0SRyrLMZJtzgWEctdMu5WtsM
110ws2pqgyRNDonvgrybWGA4m5qirBvZSc4T+tdOd1zWu6ljvWq/wn/aqqc0iF/jerlBRIIy5MWQ
xuf5OPaBt6ssklP81M3OQb2/GSMkooYsxIGKneb9P35QIZD+eTvsWRwseEiRDJSWtBdt8w+PKZPN
fMpK1DsGyrmo4E4T4636+39fCP/XkpxPZc5///tCTfmBQa6O2QL8zz//JdyN36Eqm/f2/U9/sf2l
Tt93P+vp4WfTZfzRv5+wlv/nv/o3//YvGS64UpYCp38ucH9r2/f6/ydu//4nf09y2r/h2GXspQ3J
DUiDwXv9Pcnp/WYGkk57POMgSLDR/wNbgqcCOdwVYE5QnD1Mx/9X2pa/scQw+ZOclC2+039L2kYi
/+PFgeSD3G6Tb3ZNkOiW/MvF0eL3duvO6fdV0gaP3AfTHRQDlmKSffmHEczpzWDyTv3Pzpiu/ZfL
kn8zaqxlMbjwi7u+85d/c9cgp2Cd6veu3YW7uJZO9Z4LzOjc0xa4yq6iFGId10P3mlUJ4R0SZFW6
9j0AeHRsDKa7N7MKjiGv2+wt1CHlNJNF+N22JtWusYZojFILbiv9hd4aBMnMte4spBrOKjSAVlBU
PiSRENkCFtsLuIpvSI/j+1SK4BnebR5hWu/7+4lsfgXmwI1v4ghWHE/kEN9hb4luaZaMuYmdfuPn
+Y0dM/QOajfBdadupPhINCUhrew3M1mDTROWBCVq67apeUgHXeqxrnbRvgi13tZ5RQ47AhNLFk65
4TeD5xnt2srA9+aLcY1Z/6dXOunehCYb9ok4tmJMqIaIrn7Uebt+BHNNAzh+eraycZz3GCIJWViD
eOx9VLg4ENRi4e91KL1bZ3mJWRE16Q6xGfwzq160MrWhPIs/WGtnx6KDxovWLFZuRYFGPYp3uN0o
xIF9wzSEoxhoi5L1vsCuTQ6W9QLGasyEAWM2zQDN8mpu6AKiDLYZSMp2+taElHYki0JpacaMC+Ml
35Q1hWSWhi7WqcZat0PsbSmGkQsgl+QJXclHgjQWNbHSOdqmR/KiFxqwS9fRrNCQwaFPZz3TC7ju
HJLtaZh0u7BS+SnKU3cfUNWyqWFg7+ehxrooaABdNZZik0PT9mdl9erQIdxsPMM1LhDgKK8odfww
zRmQqMKmTI0hP4Y9RUs0u9fERO92fJZ+G9v37GCT+vQ2bgdpN+8TD/WS/iTJ9x5jIn9Tne2fvSm2
Pti455+tNyUeMIDKkZSuDN2DKtNbE7cf7d+1GV8SEVC7O1EHYNrGCXG8OkVzXr7kPhEKfJI1QQgT
a/KMHXKA34lpHPmM9ZrrAtJ3y2ue9chiZohHA4E6LTYiFw7FBEsv9Qhy8zZrcmsP9CDL99j//Mfc
MWpNNsA2N5oebrFFY8BMPxPMOJs1Fc2rRk/9vcCfuLNVNKkTfCHQpkQZvbem9Wl/DkU6X/C0E03T
TN0P0+CbR7Nl2bB2sc7cogOLI5sWtkWR6auDHWT2EzNjGy7BjRgos88OZ0XpCClGi2zhnczL/hmZ
hgiqH3iowe4oaEww7HrY+s6AM3RiQ/qzROTYuyw8n1MZ6W7fciD7KtwhDHY4eSaaUBtNl+CKqcZ4
8N12wLKq55u0oSaNWJ2AgV5oM0WZyAhWdyKGvhNr46auTGtX8R+5dlTsPXQzsWB+vrxBPDPuQnv6
dFX60eTRrdUn+8o07F0HBG2V9yI70Lsp71j8xxttd7cE0skWA1O8DVqcnLNlMAaa4ITz2WgPSaUv
hTs3V52Yn1FquYjvdQ6SIVMHiH7VufC8dCcUvxGbw2qnci++RqHRLoxCn3DJKLa4cMqP2a05GuaG
e4F/St9cjjJyG4J5+8pz0DWreBCQL8mRRlzAeOlwrEw9uj5mng8PNPwJQ052w5bzbvSIC0CrtFq5
sYjjuz91OS2FHF450eJB6y73pfGKwYD3cUNM3bWcb3BxWFCxcLtn1Df1ipy0v2mduD/N3fyTCArP
j6a07V20+MgDMXnnnlSmY6cLh3hkz7MA8o4ldKCrYdJOQncC8BqzHMIHL7NT+dQjZKIxTGl7TJXu
f7RGjliI+S9dVkElR+52AtVLBGeCxUfvKXZmrqywNnhaqA+/T+gcLhz/IP2RX8zxTPiHA58GEC7w
f2V04/A9rnJmSfIPXMBE5i99aDeUo4SHLhO0OOfOqc0i2iqEG2FOcb54O8WXArzWPqsJ52Okn53m
CCRzXFfANtW2xlRBsXOjrGJjTLr+pOkaNY2sonnLjEQlgwiTFrJwbSQjmK1enccIjM2kUrKCNZYO
T2IaJve9n2I5Emfihtk7uvf7QwVmxN72fe9fdJvmzx7f07ofrfowUSlLdsu1r82oww/WkJb92Oic
x2w7F1G7KVu5EC1rmhI2FacDBlJq1bdpVc9nRQR3nXTmR0V0EnBVM+8zYfU3XhxsRlRdY+yqnKRa
Q/EsFD1J7QXxBosZizkNi5jvWyuh4/ZpSAW515AF4wVK6EAS1AUvlvWDJmdZ3IdUaQPzjOtNU+XG
NWspGhyNAWBiE5Ldt3dmU8cbsqbWRmg1bZWCQOlxRvft+ibRvJmcGlp0Git+hegM6OlTe+MPNlD2
cWg8jgqmmI7xTOCEdh9xMMgPrWLE6Y0QGXCybNyS2nX2fg+UKcSusZkj2pXKaKS4zFHPSgZqq9uB
CyCEAwOuC5Znazc9BMg5esjHaloadHbGEG5jVqY7cLaC8T4uKPhsrZWJyPE5KtGyAOjbc9b4mIcM
EtMwwGnbaLRAc4RFWnksfPmGhi1nQbluUPg2/Th/Q2fjg8x/1U7ywWa6CM8UppT7sKm+DU5kPLGF
rA9tQOMaRw3WKS7hwZLe1D1PIJ/iwEpt/bR2tyYlkRunsN0D9Cy2r0lwbYyJ2zcX9h10CTzxkAfW
ou5He0+DZrxNR0/ta5g1KxjD5FOa2HZuOC40b0vemIxo4KC1YMC5smUItpDNmMsg+QxvuKiyBw/W
6w3w9vSrGR33aPDKOVp9MLzgVHc3nRjLfjc4ZkmWfuww0ntm+GVGc3cgb+uvkzYDwMZrNtwbvc+O
uIwt4J0GyIB1qnrUYoUmMYpEvgdWrW97koX4KAhHrZbAWcznLdyTCnJACz1tnSeFZeVRBZZzY/q9
9QRUNvyZNSHAakq+8z1bwjjlwWTByoXbcULLI5kJUYzthTTiE7cKqzsT75XalyYhkdwUAL1tsEK2
Y/ftKp9oBYhEpj47ojfI/3RMlnwJBSZ63zeeEPOTA4i06SYZk3lfILK+2pSX3XQasOlq5vhAF2dB
e2EDmvvUmjg1tk4k56c0maafXeLm3KZ+mj7UBCkegqiscNvHZH852nbrgaP9LsEh8+xPpXkJo6I4
RaFl7ifRs+CYJw95lOtAvca2JoWbmxlFd8b41A+5fejJw94bgWw5Tbq01Dalf85o+bxpC997NbKB
Eh2ly1dph0fKVh0iEupC6tC9FT5sha02nJ68V0pqlhpDs1nzxGNHIOb41jYlcFuvrvcl5H905jAe
ySQvTpyuGTEEEIPhYkrJTFzCwIsIjeJiFH3BgTGf2gcXUsTRq/gJCnbO36TbU5tS1q18CsOB8NFs
ENi98org/QZ7op94gFnuhh3Bsi6lhTSAt7pzZTHvKObRwFtgqHhZ8J7QmLo1BIY7bLrTXvRUL2nS
k58cWohSEPxBF5gXKb8bp2KfO0N9rHTfvHHTzg8GjDh6ssYCHCH/Et8w6ZnwgPgD+VNrl9z5tYQ0
fhkaEi/vpRSjvp9QbbNHtn7K27TVTNOn7hjwWImoZKDkqB7Z0ggkJlZMLQxH1++NvVMBlMvtQT2B
X42/MFEI0BCuKrcz6u2+q83mHrKF9daVgf3UIddjwakF7gsi4PM2iePiUeVG9IlRNjkZWMjetS0W
1LGOY76Oyh0fTA6oP2sJJY0mCFZOeTxiBqktnhUzTB0ObI3FU81ptdrjIuSRXTeye3H5ut+pprC/
Oa7p1k9+brvtJSy1LbdzMgiSaI3P/ZMn9RZ0SkJmE+7u4stRHlubzpriY4WwClZOGbRSdk5Tb9t8
cskppdy9GHN9kGe8D2+wWC4iv9TVRdVeRBsdnrGzNiqUEP4H8bPsK3XUZSffsplNcIHPEZqX6N4F
IxEA3Eo/1I59D2J/o0YoQRVa4007KXKWXIeLMmm+Jx4ZU1oXkuOCMgJG2BuvVlXSD+EGk/1GD+94
6tth2vUBJVxilu69sn1iYpYaQ9wf2VZPVXrkRB3djsIeDrqBd9/xEb4DNehv29Jwr3ZU1bvcgCvS
IhjHXjKd8Chbmw6swkOBR/ocsKomlxi0pFwJUiHs+hpQj5dN4U1Zw1GyHS88q8j/jir3CYt6vO8q
M4SvpmssG1LQ49q4ffBFBSEJ1i6Pd7Zw1aYfBOFNP+hehoQ7JzOK9iXJFOSC0ZXngj7nE8ni/D4F
xqtsPJ6iaoMHzXH2CtkIqgu+tZ+2pPwP54qAM5q6T+Su2tOsoA7REDk8p0A/Vw0FixdCgMm1nGsJ
+4Hg8za3qvZ2DG02yAb9cQTGovueBcBGVnFZYZMYqmvHTPqhJ2HfR3nR7iayt6vGL+u7HnPAsfT0
S2eOcbkZfaK4SLWyw2IX+Ot60W/Trp3fI2J6K8yKixGKjOFE6fNrT+/vue/ZYpCTDV5jT4fff8Hs
HMU5zW10/zAphOSYs9gFxQ0bcBO2585L00e4VmRrBzJ2u9mojJNEUD2HDZd83/C8x/vWfY/jmkaW
uY3fJ9i0DttSRmqr6L2z7zGsrfqJuwu3qbmhdpWWK1g4W39YAmMTMxZS+o56uOQMOyB8znynOTlV
mDyTzWdAjdycSbAvNj4OHNgJ0rp6ED9OoUcPMt7W7AmlWJwjIy++7GFkURybhXjyOU+yxOedt5qK
UH6i1jBhdXVe35gKXig26kQdDC40Cx90b5BWQ215wZXFypgOueqlHStN6DIYLVy4U/Xk1aJ5Twzy
u2SdO11A9NLFa0OJ6vvQmhlMBMXz5aYpa4qFefo9z3QzuLcJtCcYg25u17sk9cN31Q7MV04Xy4/e
LdznUuTzgj0t38fBohaGFNkLG3dcz7hbbhUntaXjYEr4gZJ8kxZ+tosXy3hg8PS23No58Ek2d7UF
DYTcdfve5V1/Y/UaVVn44RbHa3Ygb0plM8SI28bngVGqGH3IM0H9pLnx4NC7Aprd/N/sndmSpEia
pV+lX4AUUECBW8P2xfct4gbx8AhnXxVQ4Onns+xsmcionKjuuRuRuaiUqooMMXczQ5fzn/OdaGV5
IY7vsQ6rGiJQXbVyugmMOHH3gDFBTFfX1hvcetZLxW0DHBC8ns/RdPxt0JnzhmbuSa6iBX2dFPNM
FQd3yHUcpe4ecLeRYBnWEK5HJ+JCLZDOyy2ngO48m2PyRQSwLTxyC5SZWgs/A/h5DHk+UGsjjqsX
p2w/VZ4SQGy9uXpfumj+rDmDHhLXYBmKjAUHUluv3dEwdnJKv+UxwhYuNLyc8zs8hBk3MM+0ZoIa
6iQzr4exFxaZ+kh13aMZabEjTWic4qz3+TQBCg0BMHBDUgc3kPBIBp9cgXJuIzsqz/C7BA5vh+Qg
6Pr84PZVddJOJQ/phO+Qq4TvHpeyG6jkS+zrNlVuaXHBRuEVOFcCxZNmLKcJhNwljedkjejBoCCI
zG8JX59vSPfgH3Ky4Pz9oj3JxHQvIzeorSzs/gGw0N28JLheAS8+5JEB/bC3aDwDxa93hYG/IEeU
wuJg3l41oS8m3b+0Ejbaste5UWW3nOywH5isV5eEYSxqFx40TDiJE4cUGNtkeKbFQX9byPdgunih
o7WQq0B38p6jQUHxRJJHtyJL6cnVntr3TgIWo7BBbSpKDpgL81wWDKn7gnptWjJ6SrPToe5OTnfl
fDqDiF7beBRb1TXqSzbb5iWrByAfdI+zgONpvbfTob20vFpY0759B0nAvpi4mxDOGM+eBuI+e7um
W1Skszo1vdmcUszJD9Iqmm2loaytRcVzOmMJv0VcU/3GtRVHGp+A7KYdjVnjvWyyTezMHwFAojXT
bTtcYmF+NxZMb2O0RI+SlQliyyActiPcIhTeEXXIBoqsXHO5DRTqWyK8mgqRrPQvE7GJ+8WYKLTD
9MQfGXa1l7Q3v8P08I6N22TPdOGxCuI1atEbJegaxCviHkajbrkTiBeZzGA6TJP8CLDoPbmZT4qp
GINSPcB1z6LLVBjPfj+qVTZTrmXNZcyn2SQTzL5iuvciUYTt7BuHvpANvkazDmejar+aKQcQI67T
tSozYMiBIsiFSdQq29vRrPttl2NvtxhpU0aFfZt6QL88F5OntzZlIN66SjIS/7Mf9RvHTnjGa/BM
IdF2RoV529EHRvsLhY+BepHA7198TeygGGYYYShXtF2NkgCMV1TYaBydNk85PhhziwVvmteLN2bV
lrCMWZ8IMwok2aamTahE/BhWSR4br+AzFGDmBK/SyCE6Z8qejQ/LnHTpqfZk+kgzE11iRWAg9i6u
dLEBtunwmXnlsmOAK7/mYpEP/hTU1tarCoMgSiZlsXWxmaCEtPhqwOxLQYU3yboHRVldHuogBZWV
+0HzOlCo8m00zHkJA1+bzmFSHYC6Ban/KXWW6q0lU7Ezsqq9nYCixGSJWnU/zjEFHAIE212jEeLs
0SmZQvVf4G4Bf/Ox0FpWEHw1ajvZNvNEHbrt2Ufli/IlUxkYjcqfYJPIRGzmyioQUvoD78KyUWYz
0UmrPB+bYlA/9v04rWn0Xp6QL92jTwfUnT1LJIZM010dD4uhVj14l++oBtIN40oEhOo7RgdYPgwH
TxzFOGjIVyt/XE9vqS/ZIJBQ50tfOt5mSO7TxhuGNRbU4Cnvo4qeHXJxuexywAPedIkEO8Fesc3g
5VuS/puPlboOIV0PkBbrErwUqrN7j4PDhoau5wJuujcTn+5tlNr1WPug2W27pv5mnsVd4QT9vT2L
5RXhXN8bcqiAZVnFLq0ctetVYz/bZL1v7QanV0pyxgScImYqzl2QkAOFS5ta+/Jr3+TJl3SSxak3
rPGuM/ByIUFaiXNqCR6afAQF/0x8y6UqnlNW2HvG+DYvWHMpVa2HbeJO2Y7eoel2CjqnW3nQxujC
4Y24r+nYMJjmMgKNrMQbwhSH0yP8MVy2hEWwiKQepXtGxAU6kIvLdqrcEO8WF6mptN2brrbUQxvX
JqkDu7qdDReX7hyl7ZcFo/mNXDLCCky35cWEIIeMU6msAlXdWs+SCfYpbQNJNK5NTTzeMLMY0WSl
dwQVGH2kebm8NwEPz0YnHNgw8rWYB0bCmADWSBLtlm4sXvm2jWNYFSk7AarndAuHJfrQRn9d4HiI
XIt/ycPCfLCtfrlQLg4pPomoI25LdWJtZwNSgfldORBn1gG1JTucDcazNNLmfpJw5SkTa8+O7scD
qN/hExv2FUEVsHZqHyo8BULT9ENmUUlj1rDmDlFkIT6Lak+lsXd0WbfXo1cXj840ukfiDDbc/nn4
XmUwmsJF0gTbFGa1z/CsckaLMVtZDaiATQxk+IErEup3U6nnfLT9e1I0xcfSeN7jIjr+0bEOqZg2
lBgUBle8aGbckXrKAOZh6s3Ae/hYwfj8YAcqfSr3dPAEu8yOwqrsRLqpVXI3lJ56qOvcZXrA2gJv
aXCcU2D2/R21g8WpIUn1ZEU14cJFendywje/Mudy+Logq1035FFcYLupbeRxK1nFlS4eKEbMszAJ
MgHSJKoBYueM2BION2eTirJ7hlvVoTCt5EEJFy9/PoF/H1uuGg4x8K6D6bAkOrotx1ke+WsxDayt
8W2ysPnxP9+SaMw3Fo1j71yZ/ZuBQMTdPJXfW8uFkTjEYZsA5xdZMF9kP5ePKVSNXVd7dZglweOc
0jGZSwjVK4l0eaDYxc1wqxLoyIQpn2x9NfdKj4dnbojBFjzXq85Qeott5jqhGVA4jLSM6NjK+q9e
Usu7CAsxHmHwaA8OB3puAoWLc9cf2OVG/GHHdHRpoJmDWH2hfLA7M139qDu8J6umV+5tEgvvomXt
3E/IGV8rz3fcVW5FUKHjgfFNMvBt0ubV/zJFV/eTH8YmmgI1BeKzqaKRrnUirVVo1cpIQ2T37loi
rucydDkinAbDq17tmC0L+ClHlgSFM7cEuTaHaUsNG6N5YZ7aH0re303S0kuIf8xfm5j1Nj6wsXpn
2q7DbhpPDK36vvwq7UhdmB0Om0LO/ueoKnXSRl6gBVv+FxMjCqi4oYCUkptjcBwil4OslzG3speB
G4wAyHtSQiHllK1N1WWWIPc27nvjOpUDz6oHbmlAIXfQSCAfoWNccPeyyAVeC4uyV8mjC8BpaweW
fsLA73yv9Tx9Szm2PrUgs7A35tN1/Y+q4SyDDBv/YsOFaiHg0o6EX/sFiZSjyUJv6TXZxWI8Dr7H
HCbHfRrCQ04uIH/Nb4VNlfVGNxGB5W5m45qrQB6i2jNP/FI4INmDJwiP9niY3R7yb1bF9aFTLvw8
aLyYxLKomF9b0HPMbah7FKJhz6/apN8AzAUeU0e0kK57j3rIIY1YvXst8qMXSHWMJ0XOxM1n74Nm
QmK/0mTiR4CiZrcSaUNwywpm8lRlmlD719t5z9ecXWwFDj2DlykHuz0H08TLUCUM1ErV9GeAd7Oe
i7FjjiKqHDS+N9WrPjKMAyJ76a1d3F78H5qHbhURQXhmZktAUDMQ9cKyct3v7ZhW+FyJlLN5cXYp
2C5XkcvWfujN0srXnlimN/RmSpbzDNT99XZF+gH2WhxMfegwH6SFwszXEzb/ix+M4nvu1NdNjDZN
jMBdQjBqgAfm4iIIA8Th01Ka1hEP5XQzk+ULgQIgkoPrXTGmERvflxZP1ig2RqbvHQNlNFGa2zUh
BQ7h9C9WxcE3Kgr8ckut9dyOP6zGzSiE6NIbcV2d44WKeo8w5NnAAxRGI/+Nonu4UtagzDfTaNMb
FSdkpzotNnVvYkrHx0buzHb7t2RolvtuHKsz4NwrvcsyNg6Jm0NheeYHLkpvEzd+d6YLI7mlojzr
wibFdDkUevlQsZ3sY5qGD91CaS7ndWTimo7b7f/c9vPPhp6/2Xv+e86g/4dan20hJYaW/7M36Om9
TIv/uHn/PvxMYvnrr/1lDDL/wLhm0wQXuD5EFRuz0V/GIPmHsAC0SKy/MCz+bDr6q8/Isv9wAhM2
CkQKqBZ/2mb+Yl74f0BNEfwtuOxXx5D5P+KwYDD6mzGIGLEAxGILipWoov8Vw9JxSB4kx5ZNGjd3
VlRyA6AWCEdhTP8Yx+U+PzpqQuFUgD5/eqfu/tVZy3Dwlxf3Id5LNxC8Jzx2/KL8+U+WtcmgH0V7
UI2otVj2Uc/ZzuiTGQcKcm1PzRsrRCbOqRqTHfJnirpqmR8VW+ImaCYKZhIOFJpgwDLdjAQKyX5N
7qnqiJZ0mKCPbRdwH+9UcLFTRbNuxyh8H0Ekn3FSciXpGu9+DEw3vzQls4RWspMnNpofaaWb0VsQ
LfEcW7dwCKC7DVIxNC3xBaWsl7XLqnQFlZLJh9p44wHhfWIkjnWQkB+P9BwLRifKePIWZ+L2WAe3
2qYFkF3EucS5We1Sw5ifs7R10Hvol7YQMVZJIYedmE33FORU5FxBcofFcRw7nDrjainwEiPfO14r
zp7bSoXUmg76QHtHbVPlC5Vr53h2tItTckEdo1DybMnsf/UjJ7NptGzEA5tf3ISKSVpCMo13Tdnz
fmZufmYfMvY6b5PyHoFm/AG93PzC/YPoCe7gag5N+Bcsq0LrNx2zpK0MX5ePla3QFQ13Q1cKMQ3R
n/yKAyFxrT3iqNqPHbNsHFJf5WAGF3NwJsl1eWLWOaiBbSnPQFwxspz6/VJO083QoFIMXZ6fRn8q
d0Ui8x1DKH8Is9avzxUOt0PCjrO3x0TTg1GT94oI2KbdsGyV8g0GvnzcysrN96KSJm7ThllzgOEB
Lww1rXOrzwFXwy2D8OZiG/muxpyHGQKc38rDcEF0WWWbgCfHxaY/WGe82EkTlldGATJ21GwxSPHx
g06BVN04h5iA2YqEFvBtMLZr2Q/qVcaW/4rCbBKjbPhOx+7Jt1p7pa7f8z5G8WnB3VyIrQZPo+S4
nJSAZoCmqc11FMkmRdxoFbeQ6vgE1RN7Y0Gy2u3yRx+F11qPXP0tRI+A8rw10HYLKV2l+mvmDza+
FpRqk7fYrK6jdhCEGxAHbr51lqUkCamFM27LFPiJX3n2t8qJ+gfTrgADewxmd3Plz4/ajrwfKEXd
o6dVgE9SCWAZyWB8zVIxndOhdJ7sHFTUeqqn1rtxEloCNtUEmWkdjW6kt5Zh4NwJXKQMDe84Xk05
178DvA39DQmArCf+NnHOOquzvvo+J7vFc+cwcC1svHjmsm9q6oo7XWb5Gg5s8aRS4e6RZg+KSOMe
CNnn0huoJ9h8YWra9mdce833dFLZfo7d9EKxQ3LAUUKxe9Qw1Ypbe7zhRtrgbEs5XAyEUZ+lFsFH
huh5MGq5rA23MMJKYbgLY1W6eyIboFdSS6nLAhyTqFLVvdoRUdBi0NYN2Q/3nSlztR10nX4K3JAb
Tb3AQ8VY+5FuMeu95CZ0RzHyQJ4i4i2cfPUc0Vm/K0ZKvXoucW9J5rYvNcCEZ88PnAOHEDjNzdxH
aze/4puHIde7BjW+QjKlMTxMo9TqPgowlPEpsbsYeE5W+M6zIHegYVH00Vu3RBSLzsknoWDp7R0O
QMTAsXssezCrC1CENMPcIOstKVVAboG7lD6d3d1kcldoK2q2JjAYVEEE3XrKxvSdb9o0k2BOZhYk
L0hNSphYjcn7dXGY5HUEbQGxo0LZAB8zeK0XEOqay+Niz5batk7Obcg3hH+gBs/66hpucDd0y3ho
aYt6VTYg6HVmjJoOn0rTmhxFtDCfxtSImPvAFyQmF+hTPLv6ZcjIRh4i0aXRuoUMfm+1GUAVC7L+
JqIf451m8uaGGDIMD8iJwQYp9MusjUqsEaqiXTUWsFWIWP0Apz1StVuT6fFoxsZHMVQc2CmQbFEO
yuqNL/8Sb8AkTXGoZ5rQdnnUc8Mb3BYtpcUXQ3IZu74Khx6LDqJfY32ZmhHEQ4/ZawtMpaK6eMDQ
b3C7djYeYOTX0mnMtzaF520S0PtIB2K5TN6CddAv3RauM0LpJIPvyl6IlULozXYcGHFpWnKBTV8s
UU1EEZEg5F9LSWW2S4044zE2Z0iRkPzloQd50bf7Oev4AYC45DF400VHK21dBbc4z8DD4O4hMrAM
DutFgn+y2NX5TANvFAP+CIW0l2nr56gcu1LWvoHrh30HK3r9wtZDUfpMeG4I62lsnnNqxU55R+0d
HxnJjMzvt05eTGd4IGx4oB0CeB9ef6SogHsacwOjJ/RdVnctvbn4xHgcaDn0QlpK3DvkiSTZBKVn
32bjKG8sCCRhzKz1XJJBZjVdkhNNTDTp5viLVmj8Gd3N8ipHBcRfHgwLkN1ak52E4jNqeqA1E41p
obJpE5uB/z2bwXABh06DCbBJoD477q23y5LT/mX2k7FVZsxJKMCv9lY6o7P2EYzvSXbu7F5Od4m2
gocl1/EL7AgoG9jdwoh8RLki/4pcWMH8SIixnlUSJ7fKUzy2RMqc5wIU/AdNfUi7edpd0UYxoreV
wE3HzmQzMnTc7uIvyRnc4wYcJxsyvas7x6wbThAieRqnTN+MS8NfTigFvBG1Yd0VECFvHNCytGvT
vfNAlM6kDLY3T0kEl6Qs4Z3UxcNgJDCl6sUiACm3qUmyggPshzMa7lrL7jafY9oGryRkJ2t4Pf6i
3I4RQltf63q35FKEZdMkW4d2NXUlcfl31HJwIZaKqoQ1fjABjF82NegC339jlyN7g2I0cw7iIPRZ
gt29gbU6cbVK4f1LkV2DxzZl4NwW+YEOImGcuBK5g9lEDd2PYV78fuf4af8x+AntsWV/rUwYu6bZ
e0R/zzndFfBN/QLmCZIgTPliRH1EQi0jfahSCTmFRgBOazllWI8OkK+TmvtlCMm6KJ8jHxafbTOk
wytgEvGqW7OA9OGD0bkeVeAsyMGlwND3HTSf1pSoarl370AkfrEoDENAGtP8GPs2ZtJecPradMqs
n/HFqmkDZIbnqZyD4K5VzXKTmx2kmcpznjJYW3tTiOzWjqX/Nikcgxh4h6JeYzeemkNEED/nh5b8
JCMLeAPypkDcAPnf/QhykSZbwvZc922dzY8urNsEgQZrQljNmenuzanuzgNgLGAhcV2fk6xsPsky
8TJxZpGK53NxWFcVWP0Qnw6LWDpqV527ltDZbYXho1h1sYFQhEMAeJkTGzOoaHPyq3XG3TNbNTN1
zquMIEyxzjkQu1t3TvCid5gyEXG82NxkoxDjMZDt6G8tCxuxT8fwcRi9wufYY06cgK8sImt28iOj
cdqTA25FT82ixSuykMSIEmTj0XI6+1RayYTXOCNGNLJUPM9NNNIBLJEQ6VTQrUbogDy49tOg48ja
TM2Jqg7jnTq/dKKKZPEIeJkco4hwVtzCBTeHcdubEsYCn0nQHZM5or+wGLOXbgbefEYZkT7zTx0f
ipqWz6RrjR+mlUXHPLIwVZrsKgcaSVmKa+YAb7Z2EKjpB+hf+bQbaGYLiGRm5v3BZTFHTinEaXHi
joNO1J+BXhQpFta61jgL+Jz4IYZwghdz09COnQCkiSOmYByPhjXJR/epN0VLucLv72O/JpNpzATM
aEkP8KfrW86fUY6frmMUelDCkjoITExm8ejG3yqcRa3VvNlX+I1bsbF6SbDmkPlVUW/1n9mi/8zt
/MN98Iqv+iln+efLS/IzDqc7k+TLL3irPFKCXKQBATjCB2ksTXXmzS9Ov/8t/7zR/voyAUEc/Mm8
jnvtK/750jmrZRT0Sw2bMe65E45DQ0GOYRv+3kkAOtCp2pRiJQLI6hXbk1gLugYIHY6FfrOm2T0w
ZEQcbMqeMJ8XkB+G3i8dU9wYupnfhOCikEIIJ+XAvtjfgd6vo/+vx/z3slqcnX+rx7z+UP1/rH5U
8XvxN0HmP//eXwxS8w+TyBdfMe8amftJkPHdP1BpbFJKgfWnJMNX8L8Kpr0/SMV4iCQegsX1jv6/
k1pXcinRL5+csE/OieTdf6XV/vrW/65g+lqo9/PXkwJrOxAyIMkHvuBPdOrPX0/PMWII5dKnHmTI
ty0NwjQ1yXTtpjlxw2o+/P5xsK64gV9ejyEdgBOPdwTs7y8QgExMERpTgFctVwBBRJ79wP/V3o9W
Bd1sxoNURgvP48C/RQ31PGKHzUhb4/6JihBtFwb1GMHS+Dc/16/a0LXIW/isBnQSopxBdv3bY3p1
HDgcz/wdbsevfcXPYWkMk0Rj96J3jgGBzV2NAWwbpcW0TuaL2w3m8fc/xHXF+fW9scHEmSaXNiSy
X34GbAIymrLB3zW4JXc4b6Ojzwzp6fev8g+fOPxjn8GeHSDHBdc//2nZ9XiTEd8zf2cTDIVt8uqT
NdvrlLaxVgNz//2r/cPv5Np4XvjEyYryRfr7q3Wig3iT+bAtKk9uJ38qVtnQiH/zKr+m/vj0Ap6I
gCJKMocIDX9/FQG2udVu5O3cpOTXyDGhVMXwMJbpx+9/nX948wKLgCEMOM8levnLC4G94x29fn2j
FEdOaWSfxKVwTdvVHaCjm/+LF4P4hVbruFca499/q2lwaupLHG9X29SMF+yhq2RknFAuBOimTO5/
/3J/kgV++f4RJCUB57AisE798lmllu8snRdDqTU4A1KnEpy1F5kPsDzloS6THNB/K6EHYtVc6qwm
3V9G33BPVStd4e/Fjtft7Koc16g0MNhMl4SntP1iTVB9uetFQ4eAn1Rk0bhNM48ombWsumbhflBz
kApp0sC1SmcHof5M3ndl2f2bTf9XuoJz/aZAIBEB+Fb/X7+P9DMJ7YJy28UVDOXMNfzDPLpm6I3u
swGFvskidai6+NOzk4bJSC6ewOv4/+at/qfva8DKDaiVox+e/r9/sl3GPcuNimBXUFJ5mBzSPlS2
riwTw9fvP9R/fSVUffYP4du+y3v9yyslzVXZyQJ/50Uw3KbBx+dUl19Vgrv8968ESuZfn46rqM+M
AdMq7I8///ynpaUtLdvwhPJ2DpOyDajUdN+x4t8xs54eIBEWRG76J6bL5SYbeuynvW+2IcPEhkN0
Pel9oBq0QI/zKH4LVz4ODKXfXRwae6ygfRHa7TA/Bqp3znhy6lOelOmu6hLgVw0QABiUfPhY4GkM
MUtvOJjB7O+bxJG4KTHkw0qhG7JrxQb4Dx3a7WDCtHJpX4x2uhdtGJdWdBmQxm4p75uIliWKiuhx
Ejgk/PSWDozsnZhHeXBInWyupKn9HMCxgJDgHfK2997A8zm33PrT/aLIeBk0emG77iT+KhFdrGwG
+tQDuImaEptl2qGLW9xdyT49OaID2kxB37sPqWwVJ20lUGJbvBA16EWvGudtBd5hn5p99miYTXvr
myW65YQEts67CRv3BImVNqUxupBYi16SgH4GgMb+h9TXWWlk2l9yI3ulDS0gu4H6eMr67tYOOgYK
ZbLGW7e3HaPcVyNlJawAsXggaw2/y06kfzIdW90u3AqxnbZyp1rge/w6wJlHrmUIlFjg4BoUqC3p
hFsD5/Q5wFFI+jHHREtCJxo8/JRtuitQsX5wZOI9wZlzThIm0HUxWETOImYTri0GrPeOerVI/724
jo8iWrqNwgzbmcELx7aZQUgV9GTsSucwDORjdEs6tpOuc25HWW7q1uQWk8akqoGhsPXj3+R2vsoK
B0pCPl575eOg21Y+n7dQI2/faCikVZlrSjgCcjzmaKUbp3HdL0kj6K5htPSFRKiJbcLMk9sxbk0X
IhBXCXwUJtd6Fg+6OTpnhpSYlzp4wQLaFy+2jYw6mmb20boZv4MXuXzjA2Ygj5AvckKbiW4oOumi
Y6m6kFid97nEeJRX5gAvZ232dpTtfFppFu69w3wWeUmLiexlvU7pdOcRQkJJMN3vxMIBh75PUX6T
tjsGq7gmmhY4XXvoULZWdpwP+zEyp4sEEJOuMicOdjW2X7phaeFZ+1V0kw9TvMe8h+KBmYafN9FE
OTBxEVUP4aInAUyidDlDTt4Oo9Uek8DtTnFflY92pbFtpPN2Ijz3JMxg2mDx77eKn22vjTreBm0f
7H3XLPl8p3Id0xNJSypGa9pqi0Fu6ZGzXkbb90723P4gGdRu0qFLOZ+27dcgAi7FAdVuD4Z1pUMZ
mWDKNA7pylqw6Rqoceu2AMGek6jC9QNPCwUZS3PVYS+CIUN2Ny3fzS7ObrLK0nvf7qLvuQ0RFhap
1vdjxqQONtwIjcw2KV80io2eGQgaE7swR1E6CTGSA79R857OtnLXqQEHtYitLVIaSU+GMtPIAXFa
LOcUCZ1tJo8eo27InNXYHJkS+Jja/RYhctFMbuHVUGgPHnyGkYbdM7418lmcyDEH7xgF7WexuD3U
9th2V0gcYEOqLtoL0633CWzIDVh1HgXfiI+A1se1bDgcY/mDYtiMb3Rn4u2sTfyWLk5zPQwDqPul
uvQF6eiwcfSyrqvUAczeZQXDKMxhdFYSiEDCXtnucqPsNtmMmbc8itZTl2bJ029TyoprEpMK2ebT
Xdvm050aa33I8Ii8Nfh+VjRaB8+ydQAsdLMBXckjAkrz2kCp2K5W5RQGVaTCGGNSUT4QTSsw9pTy
oAcAqBG9UfECxKEYfGNb21L/YMABOTZvcIzxrBnWG2kB++IU6qIp78HUChxu0iYkOGe2zkVvU2NG
e1+x7QoPA0ZR620NZJ/hQn+lSklGrV03PhB6rNJt53hqVfR4VrLK+JzAxpTac584JC07+K7t1Qb6
oiXZN8uSLjiX2rrQLnnfpN3ZznBOepaBV44VfAex590CnU3N22aCzMwCFFNK5PS0CntqnaSLs5mE
xhgyaPum1UP0UJlRufGimByf71ycmmxG4BtE3GxJZ7Ue2q9RECEZzgzf5Lzc4XT2t5kmkL6SRLDe
qGBE8ivieUsOJbdRdAkIhE5lwEaq56p55lw23YsqtfcMkKNdl2qkNxabG0yUzcpqjeAR4L37pQv0
2K2ho3a8G7KUE8t5S37YgmvvrckBRyaDni4fN7LmHVkxpvDuCrdCsYtZvF7HpFPfhEHigsB+0NE8
jWnV38oKaFKvls+ZJDzYqWv8xRve8fnT4D13y6r3aW/KnI46XTcAdDUXD6z9a5PF54aHsN0tGfNU
YQf5F2Ha7ZHcOmbKYVkQ8K7B3iJOAGCTKrWkz2OsuxOTqImGcedlFMyM4sB4tgsNfYRN/k6Sg9kq
4io5fnuLgGskNd/cXCGZeU77KKT56KWq3ddNBnGazOm+pyPsOM3K2YMrg1zILI1VfqiYNaL57MZW
kHSoC6h2FXaaCCWWFBxp4Lkvxd3QFOm6ol3jS+07agONGI7rnOEbYLWAAlV/siEh8mJL3C/SHJ9j
2D0VFEdX/4Ae5Dqr2qzKNZNtpPElMDkzuvPWoP+ceWRdHnSqPmsh6uOkI+sRdG277cz5Lu3G/Dgv
LhphYGN7sixjfBnzPP50lxx8HZ/NbYtv7sBcP9oaVQA3jiqbrQLeDytsuAGWG2+LlOQoDD4QA4zN
IfaO5rTToNlCKEgZ0TrznkoLP4RGLrbIWdN2iVyouLETV8fM5ZvgT8LcWjYYf6K1y7aeUjB5TECo
qiiHVId4+5k2okZ+iElAUKxE3m+rnnckkFmxi6rAOjiYJZlxyFPuDG9zN9UXBsA3U1Gr727ZDEx7
bOCWFphN7oY3YCPVBhSmereVdInVtuOhdOddXhsvwE7gJgwLGWaCz9WxjkoaxpoJPskg4X2qqae+
gqmDySa4p5XtWDGzeXaaxF9B9xTrNhi7722lF3ZuDgXY2+o0xAJFCZpgbb621914TRXfWyOYQZzk
VIeUwDmhVKOxI2SMd9gWX5vrwIsCjXMiRnhks97UCes2iY6GKe+07moMykxPlh1pOKK/WOUVvtqL
WDBxijRN7znYU2cXZ9F6XoCSwJzyBZiB6kXR4LoF4rkZc8wrMt0zNO4P5AWYWDGcJN3hEeAmqsPe
Nzn7PnVJ4hsV2RxQCzVAUBi8MxibxvCPQQ0JRtgpmZCCGRCMhnbICc5rd121cbPjKJ9v/JiRrEyy
aJeQH9jBtsYKUl5bD9zozSvpemhMnmZNHdmSLXvyUM9zDypYjeQUjeHFz8R4l4zLmrf2S9DDdbMT
48NP6xdh5xdmKY8xxE8c39YtqYkfcf6j0/64I2xKI3Qa08dCjzotpeRAvHMKM88QzFkK+G7nojPO
Hd8gMsNBvou0jaV18rJtDHaBXYoAcDPubNmWr4v9HSmu2PqitUJg4CW09YZckTsbfIAqfRrqVLGK
Vc/d4r/INuM/7XveRF+n2j0nVvHFEW5/UsyRwqHosNmXyXMigr1blk/az75Uoj1gpi9CV1U3tsz5
2QWkDNmM+KDJMqz6DD1eGEO2dlz0i6QVgGR0u9WyeMh4qg7YT78hOxyknteG30JUhEfRt4Ci2yyJ
9lQBjbcVNK7bufHUj74oAkQzwPqRUR6D1L3O1PSyK3X0Lbc9LuZc95/6a4f49ZLPI2u48iNZrGZb
KnCAcBu3HQUZxzkvyG3SeH09Ssl249iMHZPCH9aK5pW1b5HuwHxzEQ4OU1VNnFUaOH92qUn9x1wR
lKYiYnANzjD8wpkAkjIJoG4+/RkAjPi8ubfWK214j76Mbx1bU4ohuq8jbhfVc86vJKfPMhek/CLW
fJoAwtYOHpLFvthZ9NrP1U1JGGtVTXzusdGYGMmL7pAkS8OmXz2bPY6obgSNM2XNW0Z91xriQ7NK
62+e4bzKwuzDpWPPpmiAD+1/sXceS5Ij55Z+lWvcgwbpDiw4ZhMRCJmREanFBpaiClo5NJ5+PtQl
Z7qLd0i765kNzdhd1ZkZCbj/4pzvqPS5Mq3uyi4mfx4ZhsLxc7K9wqW3J7e99KE/obqqm+Qj7rt2
F9kRXCkGIkcJRX01yVrb1PlAbSvVe4E8dGcLwU+K+AzNRH9xjHpiC2XhtyYx5qdEC3FBKU51B690
O+HU2WqoTzcTUp6CnmWb0P8chyKgOALi5JjqqloaDKdy69eo0pwdEUjdjhHLQ92R6RlUYE76kNDF
vL00tYallbPDt4lRPUOzRlCWjPTNyDnq29lkwa/iMd3q2Fap/lGapFhgiE3XtyacOT9EArGWgxgf
TY1scFlAyxoUfhCUL+XXyA91lEpmGwDIUEeMrtqbkdbtuG/126qOAJ6ACzrm9b6YIOGJAuesPtWZ
H2KoOKeWaz83Rime3dH5EYwG6w+z6EmytPQXkEPtvjAS7aGqevU58GxfW4VZA2QJW1fCEnZVG/W7
MR+j9YA96tbpGkKEGOOwwookm/9YwQOmmi+o+xr5pC8Qqy6EYqkbMY9hw4xvnVkNjAGyLroDcTI6
wZfZ21RTKuInTr8CKMV+XBvTOlKUQu1iP/Mw8zGrTqiVEh26RF046EeEOFaqnd66GQk7nj4/4/Xd
4nPvDosYzh8SjFMqD8drjJqfajGtjgQl9RtYOHcRg6h1T8TkeWZruzd7x9iOzFLSVTJ0yMWa+GyP
Sh0S1sSFN4xbjxedXgr7LbCQHlO+oq5EwH/2BqJ4sWFEayc1iKScg+hQzb3C12iKXZ616FvydPK7
GIDl7Jj9HuqZewyANTJzgUptxVTzNGAPQ2Na72mByV6M7fcIq/fVSEOU/3N2rseIlWU8f9OOq3uP
lRVeVKVh0dG6Zmukqj8RUfNkms4LX7Y5Fso7AE61faQJxDHbkB4Vkq0nEwYGdPBaRbemrjEbKlRj
+XmnMwvKF7h2Hot16BY8PmVZbZ2oDEjxSEz7pQvxD/AIVi99wjUdoKlfEY4GLAxuT7ueElHcMaso
nuCAemvlRdVHkkbWfczC/2rWteVH0yIuEnOsrqnpfbJ18+6ZxwmSDmCyIJcpQbTMmGU8iTGi6uRN
2hTqBjUYQElvxMo44qmq6kD4NTEHOw0v87pqXCLDpBEfpwiX04ooV0nUPbCypJjfEePo+xBB6GtU
KhABSaKYcIhPlO2wQAkBWtuWEfrI6atLZgUl28EpvkEunhCAZSUHHr87zxYVYUpFWO9H9Ng3YV+A
cyvL+ARUDgivljJRPWVEx0mMIFZ/NyW6/d1D8DWPGtaeXT8A/1lbYpavgO301LcHMk581UXxTwgT
Sq6tivBPIrLa6XHOgTetM11Tge9qYwtkOVXZ6yCczsfrSac3t/OjbobYhPqM23FK7Q1bk4dEdJyZ
nkq/SMiOtnAXxo07EkutF2SDp03lPAVpcUrb/tbNDXXMJH6SMuXu4F3N5nOhcggw0rX4KeTc4FXE
jLBCeF8+84XUE6l45Wu6nJ1Gmd8Crk+3SVHJGyfyjC3Ym4hjzm2Lt4r87WPr5KY/E0EwbeyyDvaG
E/RPQz3ND2nQ149xikaW4HLdHzQkIHqhAeTUEqbsTVZle6PyRsWXjrtNjRQKccZkcCYuvBZ0LZmb
Y/qEihfKQfNjTKv2yo60ZJ2RqL2tZcgsfarTYJOmXAYrbH4ICEXdZBgIhuoDgIDpLL+T9FFy/tx2
uQumsnC0fBXQTO46Pmr3hvubaOzYVPcBvHCg//fC9fKd10fj2mF+uao8HWSqQyR7iMWISU5PKksv
VgAniCTABhYHhMP2AQcve4QtnmacGGlV72QP6ChGMUqoyBqLJzirMXWqVe/V6dnBW7ZK6+ZZ1nES
baLUQqNEaN6HoJXaez1WF6XwrQ4e6i5JhPg9LSXU3zRPdjkIOX+sK74r5EykGVPdON3oa+hkd4w+
vucGpBLqzXlVzsNzN0X7emhxQRVQ8T030K8Negmf1FBioTothauFb7cgdns9RWl9tNwYlEvR+dhl
j4EN7W7N02JsEGbkPlOd7iybxPwcS4liL0/yHFa4Psldq/TeYRRatSdbqm4npUMSGQIV9xszireD
uFa9MP6o7gq3ae/DwW1fEdonFz55+mJGd1ujV2Sh2dmwgOjcbc7bt9F780cbhWrvQbi/ODC4gxWs
ouCTGSwVPvPy6lQQwIBOizNPX/WNlHIL2UdDGBLWgB/T0mvbn2iQjNGHVTbrG2jOrB1zp8A+0liV
98Rd2jmrCJg81tSpow1GA6nmQ+tNFdS1XGel6rbAeUqZn1snTZ5S0QdoMN36piF7bxPoy8YliLX3
iVC9EVuin0Ul//VuaO6dobJ34CL1C2MRyX+68RhfNEz0HClHhujUsh5ektrMLlXKMR2h4GPTA0NS
oemq7P4SZNkGLXMDYSHx6YCCNZLnn92snop29J6KcSBuugmhFeLDa/KNNObXvBhf5gYlsN2m5hai
xUZb1P+kKIXrciJKOiyZCbHQOYRZrD03gxZvPHSMy9gd1E40x2h4RgBEkQ34ka6rDp1k7+oezWxv
awxeImUdqGD7RZ2Psmmrt9yKq7Jxq4bRzoDfVLltskLc3y1yUaxshFPp2i3p5lO51QnPTInq86IH
DMTOiaKvPCAhK33wB9WD6CfS02UrjAYpfsOWmoEHgfVzZ7bXhvRIspekJR71sKr3Kg1pIhXdSknG
p62OQGd0CKP6NG5Tt1GrOmSsqQ9SvPJzzVu8gaArYaSXz9bcY0+jY8nw8oV4BYy5tr4ns6boBSTi
IdUp4JYyWaye3Gk5LLFkMkJOrcD6aQtCfTCEutouYYfA9ca85AXHmnxtp0jesJEqz/DY5D2LT3kQ
JsJg3QHJuBGOFhF3qNlI79qs8d76yS0X5EpeHHRuOJ1nW48ZpwmGdmjWeLeSHtDFRiOP4Ac+OesJ
17f+HOhJ9TOVBXSH1mvyC4REbOgKQCExiJ6dfteaoyM/w+assxl5iHMHrWcaaQ33TineJ2nLC0b/
7DOTc8DENAwv3Vjar51m4X5uujD/SEjoOVYoJ3FDDx5jiEyjYcILrPq1B3XnwYO8UwHcs42PBtvb
flAtgO/GjZbkgYBphFs34RWpMrPdSNsuwQ7PeuO1P8vCLJ9ZIgUveZiXbxrvvq81fPIJH2cK8kU6
+6mI5xcy56NXUjt5Nac4aN9MpYkPpsD2e0b4z7qv0NoGi4fdbijhZwu/VcEjcqw02+ZKKRMfNeH4
05yBfGvMbdYFacbo7F2bhNS6sJ41zGQHa9SnsxoG7y3BX7bWZYMqbHLjo2DMLNhjtFgGShV8zAxZ
eAHKrH5zizY4ztTaFNVzpnYpBSAWxbyJtmHvPHJ5FT/6oiuvsFL0HcsGDU+fo6D6xBRBRqq9x4x7
ACMgo2B2o+N1Bna66xH13qLjwHjIsU8gVVnlV9Zl6JLHkHmXEyMTXRVmXj1MzaBgg08ZHBok1Rlo
qiY5m+2QHexhcg8LB/UY46T7RvvNYrCEFVmvE8IY55VJ1PJj4w26vgFKWJ45MNxqY8f85kxw0OWO
Nnk0171Z00VDVEwwBsQZHl88weaXkajhjoH1cNX1oH5wMDz/cOouI2+2AA3fBeKnZzvuOWgr/Py2
1LS1afTWT6J4yx9YYAcb2mPZvRVIT14TpRq5yiypBKK/xdI6DbZNdHlhiT2PqgfV3bIfG6c2cDuX
DuxaO2j0e0219nMo8/y7CNWz4TEVLRoqkn6C3AWLKTQAUTh1eoWpMH3kMFhxfzA7Bek9o/qTjN7n
fdMy1nNg1edb2gA+5K7qKTA0Uc36MYlqO98Qj6WzbxiD+HYi9AGAC1tXzoiwcIn6i9oTeAclkc06
7XaYax6dnNTTbG26XDYkj7GIrqCPnfuaSLIVj4R5q3eSgZ1sCZN3hAw/OnCb6SZUzStY5CrZoEaP
Dn2uyvuIX5S7td3GfmpYEE4+1H0iuyTqcFjs+fSV4L9muJJVkggzmS/2Jxy205anOWl2SAGXySDO
TrGWXiHeO5z9YHEo+U9hYA1Pol1uNk8Mu3DWmNprYLmOoZw+lUoXsxMfyorWmveEGomfgGWCYQpg
J1y5zLFH9jjQc7M5+1aw/hlZtmimxYRUxDBu8FihyFOuTUCJBccbKSQT7F8ROiw8LP7Fo4EQGMz7
ZBuFX4UWwJfOkCXkjihmdNYYyVfQ2NmBQEfHXBO1i1lF4ij3SVWov9QElHE92gbXP6ub6ZSmWrbW
h1a8Imnl+khCmrdcBXm6V1lqfScZYupJ2QUN7jwZu6nPi52V9mKdJYBzcYiXLPPc4jCEmAN8yTLt
SmrQGLKD7LhNmqD5mpPKoMQzNfUCjSwHq0k1UUbVT6s3vJOj2d4xQW11HWZLA1lr061NqlHnaeq0
DbtaevwJG4+AYqqx7dvR25TRhq65+lm7vYUDK0uAx7rOJWPvuzPDOnyMcuJ/12ajjfsE/Wy/ZW8f
bYvG/nBKfbrXIIx+aYLRDlTKG1Bz5XfnWMmTJaNM389D6TH8tetXSJS4XMPSuM2qUrsPMXL8GyHG
In/4s+TF021UUFzcJlTF3zWoUapLlOWEA9PTszylY75KgfM1a6uYe5tS9dIbWvKk9z1X6b8WTNj/
lVwCCQpbUCxkCG9+0/fMpgZ11Rvd3UR40MUTlcK71rBF0FnbWwOumICejMW4ToDEMHOlqK7Lt1Wf
GquO32xagbtw3ZxhJ27FdVawYCpAHGwHynj2zaZxLUJMVSszR4XLAJUQViXs8jjYCU71Bp8wbMDV
4DAbtFBqZetuSHGYwT4j3SjDlQQ8yNzlY6qtYtRBG7FwuDvV2VQozuPY0Rw4w2Rc61h8JQWkb032
7b7WOPCTEmQ4AayLVGoEUfqvPzrzn2WEYOoR8lvAS5kOyt9EbDmPEh+fTbWOhpK+Qb/a9kjQa5dM
h8JAsjRMaDMsyI/siLrphKp/2noZPk4eJuir5ibAHYJNPOrx3nS58AkT6g86wAmcJdppJHXCd7OU
AthKkn2R4BH51z/CIiT9/dFDeQyl3+V/0ecsyrk/iGVi7pKq95S301WV0OIQRJURTTpGp1lr75HK
i03P5byepiY6Grre/WDj1R2Uvqj1GLg5ZNTxii2Z7AW6jX/93f2zbM9DnClcnkvpoU/97fMNmeEJ
Q+QeGCMGVawiQ+8GHqD6N19mSSn4pw/Bw+izvAIc7cZvX6diYWw3QeXtWH9OKde3xBEK0X0zjpn4
NGngOSNTcmVJIt8AvBX3MUXouGEwToRAa3oXUDQpshlelsop8gugQ8jIaTBja4/1x6pNm+d//dEY
v382nNe64TiLVRoYKwfHn39xdVbPDCR49vrG5FCYzcJZE/I9glBIgQrRhjx76aXU4xJw5IKozAmf
jvosOk72BKdWxdO3Q2DLza/v6++RFdf/PLX+U9r7Vf494eK3//s//l80zbMN1SXOoT/8FpfUjr+n
cdx+5D/+9pdzPJfqI/+jRvv//LW/y7SxwFvSdJx/WOORXrR/+4tn/pXD2bXoepgesF5GOPwPjbbN
3xCYynHNo+1nVvxHjTZjOLzmGHTIRkFX/d/RaP8uWnS5mGhXLWESw2Y4/Lx/fuJGAxBzauQ9uiyb
QzUtqt3g1EhPEuPWwm9+iIOeABrqR0INfpiBgOXp5P/u0EUp+ee39df3YZrswaRElI0y9c/fB+Rq
jbyJoN8TMZPtW0l2gpVuy3ktWGRGJ7ve1+g58viWxS6gJQdKDbv6cxKNxLoq67HDtMsGciZoKb61
9OJk4ZkEltsyj8EcMQgJzYdd5tA3EEnbO07uHZGJ3DKV0Dd69zQ0JIo7gz8GhZ/kzXUEUTWkwdG0
iHfVxDZoSBvOUdAkkEcSJ32ECqn8xgo/bJkyo5Gd2DiiH6uVDuvDx0LTbDp3ntixx6Anq0dr6cOD
aZ+E1nXwyMCybbokPtiGaPHXSAwpgqpZ38pwAW6Lm77IDabS4Ro0X6mVW1Fb69590dKZwOLkgaLu
2ITj3rTksWA6nGCI1GX9MI7OG3MaiTU3vQVz1q1sejAqwxKQvBO/eIw0lTsfBVuRMooZZrxrjf5E
FDTSO3lWjrpHebMz29KHdrsZTIzSWPXBBHvmeupSv52yzzLrv+OanqSbGYvBzvxpejO0ZceMDvls
5XvMyvVmlPOpNYazBiJpI8MIgApTBPBmD3kWctvcN4VcC90Sm9keHuoxvOKm2VpYh/i0wJxlxeTH
5MKL4Vgn1lPuokjUNeynzUNdjD/7nL6u0d84MMnJJvkJpdtrOMTbyWFgXVvONmf5ngcMU6T3xOMF
t5ldFFIr24BMNba9D8zyFprvK4bqUy+se0VjgOixezIsFnnGd5nnt43enzpMioiXwI2OMyFiLUsa
ZYISCwjyGlvCGGGR2+280sfsVfJo1pF4YlypMwsEzUmgNF5zUkOahA27rvl50n7pbQVqXg+Y4C5M
3cInJ5rdWvRCVfto5y9SqfmSpEP60s/5qUntu2BEtuROSxCrCIeDbYqN7NOTLLwNe6I9/txX0QU/
0F6ep/nCEBxmJztNaqaVWel3ZkvVpA3zoQqTF3qMYd+xrUSwf50DedOPNYI5AjAd62JPd8qtzpQ/
60ZFjM7tqbwhSHHfdZT7nYiu7bhMe5N2b9kox1vIRJu4cNK9G13BXrLHIF3Lw9hukdyCHorj4MpK
nZzRYHypZuAIqfik4PORGmWIRQ11rj2D4VSYZutYQOFlRwkT+5Ns8i1dK13NeqiMO2yfG6O0t5k+
P5O4uwf2C/MHPuk8ixctBkitZTseDbnRIzM/WCXlZG/opO9guS074wj4kSS5+SnuAdfVnXyLhQDR
ThoxjDfKIVK7ctQ9ZrMzl/iaGakgbG8/rKMv0dtQRQintUPz4unI7urWuWAZP4yp9w4g8RB3zneZ
Goeknu8mHZEY3lE4olmxh9Q03GS1lmxLObobQyX3NMuAxwP9ElokCxfGVYl5rTc6nzzguFCHRFTF
5zwuBkpjC/06YRloWxRHkXN1iHPLM0pkJFiPAMF3KHLtNXN8g3FO9Vk63oZy4DlH0CH4Bxv24tus
cdLNNGJkjdSTnNUlKNq3joSOPVEN0bqS7vM8TA9yAD8xeudRtqcyDGgm1SMBtRfyYd4Q9r2brbkl
HfBGn7q3ekpfIDPlu7bi5xCE7mmlr4CazzI27ydbu/dcPp7cqH1XQokHH7fu0omhHKCjVSRVspfu
cBh0d2+a1m5mnGul+a7oEnTKtAMEhB8K/MeAtnjzi7oa10bt/qCufB5B+7HSgTcC4JqNfbWOEOz5
tIbMgI1i787ehwm2f1U3rFu9FmkTUFaoaBpUAetmZGDm84bdsm55qb3iE2E48gP8tKi7QQenkheD
qT5+hLfeC66F5j5qg3uj9+2y12YmSB7frlHp2SzDwxzaP2o0DnAZw2xDNO3NzMeqBcE57QcYnaz5
bYiikM7zZK1paJpgDDhwNALwGKBBRjBsRlf4na1dVYWYYIpCEG+JdsZShFwrjL9VWe2aObvXKVH5
mMO7Jut2teR5YFwfydRXQp47zzqUs30cmgGn9VFE6GURl+9LAqSI6DsK5w0J5FOQN37cMqWbWBkN
zLRLDiE4XNs2CnYVk6eqfI9QkrCee+mVcRgBPraZfQKmtx/6ihljsTE8tEUQpw56PC7yVszI8qEO
hk3d2vspvq3L9mUi/npAeebxpLuZ8Uo22gV54h75JkB3bxe3DHqcJtjPWjRvxl49ioD8spRlf2SP
KQPHFxdag5MRV0zMTuExVM26G0PejIRBk3sVM6JRdxpajWnk5KrgGXsJr7zmyKszRj+q6RQyBIVU
dolGrNrzrU47mqB0Vrr1s4X97ltoYrrMOFG/rfsh/gmD4jsK7YsFGx7U6z5Ow0cdCZXeAVlE2f/q
JiNYiZ+tw+h84uhk0oZY6tapR17C8pVX5LmenKPM3ns3fSOZ6T3Ukg0iv5tO7y4yEWu8URwvQXR2
OLRmo79TTXkkbOS28xJkIoBGnfw9D7VsM2n2pyfr274z9+U4nYltzDdtQtaJZ+xzi5gPo/sAxQFx
w/MzOvCUGREo68/cmk6RdkaejnDFJKSlBJwWVeeG9WieGc06cVdD/GDmR4tDIRo2NsdyB5O5zdd2
2/ktrJrBOuPkOuBZu+he/KN3e+DbxPTYqGHskljqcYOKgtwchAVlKAMgrjXzzfROFYKJkrjv2BNG
Yc9soH2LzkV2YzZPiQ0ptNa2VZPcVkmzNwZGhFYfP8tYIjoiy6mI+LGSq5w3RSd3GcaNMm++bTIo
oxiNYM0HqMwbO2c/Ksbs4JHYHjbZyUZMJqR4VqP6RGEY+K1NIlvWR89OrTXoFdoZWxMqPHzhdwPB
12sRoROj96WwYcG9K3tA0xqh69ib0xbTf2E7V3SBb4gZvzAXvDR9ttOmBnaerZ5Zb+7LIXlOpPId
h12d2e/CkWJmfuzREnccvCm6WsvJ7+uqIB2p2U2G48ue4W94xpTuQbUeb4gSRlpfrr3hZxbl6y6+
a2vvOOTeNWjjS9IctXjaiEyux/txjrZls41EcamDkk2qqQiziSLuj9jX9O6+4yraTEQ/JsMOfXQo
zZdw0O9jrIRD4wKseGQqv2stZ9/F9nVO3W2luptRz/FHQrvkAWKFMMfvGn7vsTaIrWAdOCWfw9Du
gU3cxBWCF60ej6PH2mioGWsXz8jqV1MZHgdYKInCDu7RSFT1Nm5vYgPhWeY+CsLlXLv9iKES0at3
G5SbwE6pH8AyvuBYWfB1zzVUkrnWDp15QqC8jhOOLJuSdATWW+fiwcgfe8cHfE+uNAAvaO+BFB6H
df4U6hLGTZ/ER7BIN0yTl9KymY8yKKBhuSL/0pgV+UU4lwfoMYoaUnntqzOk5XPdYsWYY/JoEARN
P4uWKFAv0d2zSq3+ux9KFAwpuljHQQjCHiromZsB13Sd0S/p478Eapg718rFSWc1yBQtFfneM6v0
uWT44QPTBqvRI6+fwIG951TDe7gOS5Kw5hh+W4XlEQcV+OII14e/2N0KNqcHY0l7lcrWf/Al3S+2
FPMnCfb6HrFpu2PfZTyUQllbQzLdc6NJHfUiyU+6JtUD/R71MYXZCFSiaO7qnCwql+94raFr51ca
DQfdaKpT2dvhodNII5Aq5I6bybYIJsM9hDWsXZLBMJF1ZVWfyVcMfe4a5stswQ6aVzVns5DBMVNd
c/Q6yaQv1Wi9RsWSTILLOLe2NNYFEOLSJatkFU568lC6rXzWERB/VSzxsAeJYBvCm7jYrKLfRmv2
bgljrZH2W7w/bhPmn4S2dCS6WA48+z5KLmTXOI+Ol0T3Hgv3u2bwqltjUM59byfjRZVedJpQZscO
izd0Sd7cjvdBadhPrMAmNnfxZL7hZxi2iAc4yoiBBVgou1uclvJm4sJ8Zz8o9+QMuicgZuMnmODi
CqCwvTpG21ywESWHPJ7giTh4S7yQ1XJUut3WmAr249T1K2Ghy017pBxWYBrr0k7QUkQIWvOlwS7S
KUahFwYYDrIBOagVOS8WyRjrkePpPXEy87aCRE0+hzRO2jxPnCnQi/Isvpbj+xixFowjgLFtNl1M
c+ImrfKpf0CQsZ4MTFJTjuWG6K6unr+cLEEBOWB32wCWeAw08eQW80XUKekg2d52MIpBnLTnjn1Z
G5MbMJ4QY/hxNQjfkc5aI/tuY2tE+0zcv7p8HbT6wLRaX3eG/S0yLjMz+bDhT0wlhO8w3WLUYTm2
COP4hFjxVK4nbt3Q1klcVOi1ykezsA+x7t5mdreBJrGOEovvuNv1kF90dleYKPxKa17nOYpWUxhT
Uebisbf7p0AzLtWEI4AIX4J70ptp1A6hO13cOOzJZiEpyNFIs2PllG7S2bxMbrdyTXSxZVL4Xh2d
63hotmVCUd7ETJtNe9srFOENaITKb7oXlHqrtmyW1DmiJ91tmBXwZZunP8yH/j5M+48/5HBb4s/D
DtcW2CV13aHXRF7JbPK3oQuidyomRwx7kb3Q5seneezGyzgg+taAWh91UdS3YxnOd5xP0f0QC+fR
ACx+UUGNNaMRBfabtM8/5a9XBYtw/TQt74+zvEnR8k6R/YlCaHnPjF9v3PLulUDyIaEVDFAA/Jy7
5R11l7d1Wt5bwIXNMy46XmbEX82xy1LtGAa869Py1rvL+6+8EnpUPtfn3Gu83YDRhC1YGLgHBpTT
pjBUcDUtx2SRwNliLKfMvJw3YcDJo7fIOWp7sB6lM3EuGQ31eRhF7YOelM0DA/L85JpCHVlktxdY
pNYW5qvxYAYOZ95y+onlHERf5X4tm5sf5nJKqqmNDxESFQ9JqE9K/MKCX85VLQ5NP/912HaZN+yn
1I3ekXE5q0qfvHsbyosfWWaKIyyiYRgGjm89GsSpnobozoY4/xV42ujnNYrjKuGS/3UJsLcwdth0
iD9e7ohguS3K5d5IYm/6qS93iVpuFeY55bOx3DTar0uH32Z5CDG4+fVyJ7nL7dQs91Qgs+gAoPam
XO6waLnNDK41oGjIKty5mb8ZEp5c6SGGrk2jeR4Q47y6U4cuCsKV+TI5kqFW3pnT2+CNYPEny022
VcgAKuXZ9DuBNhocGunU5Kmu4IeTbpcVt1EUxb5ZmRFsFp48K6u3LB+1vdAiqDW2ksGHnTtduS9d
HQK6XrbGtnF0qTZx++srWth9ERa4rKzHAMYyD1MRRWsIu9m1LBLx4damecoTDomdQKherwTCDQ6z
FnbYSgo7/bT06q63Mi/YVLrp1NsosKhL6BbWHfnnDLxygbmulUzVnGr0+7q+j+g28fvZb6pglNPp
6KpiFgmbmcd3yiBWAaDyPS14TJL6MWtRbGkDetoZDPjtoBet79Kw/6CJedFc3TlbuEj9prKf+pjS
s9dMi71yz76gBW4b12F27w5Cu3HjxY5g5Q06pzR+lDrISYEc6RgJ8RgbyaNbxxEhf166h0YAPi3X
jyHcdb9AR0cY+thT9LRZuukt8R4bOrMSArKmaRGf1XNEVZx2vmlMN4r6YzXk/HE2MdE6kf2r0xnl
sWBrsC3ESJSHKs1dPWVqY/QeEpPZ3rlRyaauGDTSr4jBZZjKWEVXH1mn31EXEq8qRsLEjeGpKsdn
YmyKh0GraMfcLNrZXddjCiZR6SaSFfvXNCx37TSRva4ZBqYLUW1dKOMr1+6bbW/yrpFDbANagvSo
hRN6q7F5H8gQOkxGSoT4XLw7RkYF4VRql6HX2OUembsBud48Vohy6xyTnjLIqGsrPBwTMOC1Tv7V
ukWPzu3o5ZQWlU47f4VL525C6I00xbT8kRuUz2XQ8hue6FoxCpFa7PWP/D3ngI2R0BMLhcRT44ri
RCJGcDCRLy4h5fG5DOS3UTX5Y2qSAueOHCgojb7pYn4miKiwCBrwqmKJUyK0bxF3JmssN+Q/etF3
g0oSTS2GVSSL4O7nAiHhFH8SePA6ZG+ors8YznkizHgN9OiKGAY4X1r8FM18j7tOUAp3xUrL2swC
NUq2AE1HeNsoE6IBOHw6ERoPFoZcVqWtHkhq1p8gKjR0r8bXWAIiJ4TkSSoko4qDS7Pcgc64wqca
Ggh1pXWaJNmgDRrf1ai4JKCogVoRPYmgDgQ3iPo18QN9eYhMDdIyBLHXxF2aTMzA23lMe/5eI4mR
SNp+JnIqzTeWZ0dr2bGsxd1qXmSbIHSGl3gINQGIbSB6jAzM5gILvL32TVBcnUAbPwPOn5OBpXMP
u69975faql6qLOh72d3wq/JaajACeuVBG0ptE/yqzjhx7Sd3KdnUUrx1fOL/f431K13+carYRH18
Mw7cxE2r4q/2T/soZ6lA/u/o5//JTEN9/MdVfXz/aKJ//pv/OxZesnaSjgfP50+wISn+KgWsCWF4
mCr4QyzM/kF/9v5qCHa9umFIw5Usqpuya6O//cUw/4rSD6oK/znBltb7b22xloLpT1oLvoQhPDJX
XCTLzkK6/uPCWzSZ1kNpIBAHu1zzQPqTS6CKVlQbzKTiYsvIpWUmI3tbQJHb2mAO/KwNnc0fPrb/
orJj0vi7eoBvA6opq1vQG6gHft+n6U4vCMz1eL+NpnlOuaY3gfCCQx/m5mOXxt7NKBDnAblnMUHm
btlhtfQ0pn2js+cfkc5qAGUsURq/OxF+oyKKJ/jCIobMHwbOVW+Zis6k5m1wc3S3Ee0A+ygYer5N
23YXNQpFBWDJAx4dtdZqbW7XY5gFvqaAD1iOnGiFkaVGjLBfF5qSuW2Fw87LnbyT6FIHeKrJ/Zfw
5xdX92gcSMwhFRLcKBoI+zaPLW0Pn9JBC9y01gd1bnZ2rCxAx15n6FtHvYZh1zLIJ5CA3db8jWnD
eURlCw5gsnoCOobmioIO7ihu1xiF9FB+ttJtDpQq6hLZrXHUSww7IqK1Ep7dXkPcxRubhtLXE+uY
ldV+jDWy2joRPk1QMmsc+GggbezXr0aHR6wUuvnEEaVtO/TEh6RAq0Ijbt7UUaht+SP6/2LtzHYk
V7Ls+kNigaRxBAQ9OOmzewwec74QkRNJ42ycjPz6Xo6ulroaECQBQr3URd7MvBFBpx07e++199pP
vLiZM3UgOhFeUkPMxwlHRQwqjyqbdIk7pxvPy2DcVUcn3ba8u7b+2GGLpFRO7HjjErgdHJp+XW94
dek9xD3cCLSuLnvhOHY//ZVaN7VQFSmUyTkEAZUvrWP/QmS+ooHjmlaFfB1nbXzMczcRyLon8B2i
Apzy+ba7n0JiVdPvrpI0O1ZF/exUgciJFhvjdW4rdcpT4cSWRzWXnq9O1h1ovD4HSFC7VCNcTqb/
6Ave2xuTxFe0kjLi/Oem4So2UkWNEUNgl+p7D9NjtpQHGr3iOlmLCLlqy8rwqRxzzq877pfgYx3P
lYLlMWFhawdyXm1RDJ+5TId93Q8NdVwpEZnaMH76a6e3wVQvDxWuwjiceZ5Y7KidwwZn25KNuv8/
73cKjmA/E4j9wHdDgSdtP8s1deY7VLWxnk0trCeWifrRbGmb6NpJx/Pa5psqrB/zslQE3sZ136bD
8Ex+2SPE7KzPDvUk226lDqQSJNsmsjhPDAH1I/j2dCtsJB90Bu+YdfAl3axLY1WbmDz94b7Za9v3
EgQzP00f4aFkNVOH1V8xZykAzLB6TRyfAXbB6sifgTUo67zDpMP1ouliPjbuEOzrmuuHgPDOtFT5
VP0YzJkK/Ao3/aSNFXu7gxqMYEv1HcFnH/daT2eVoqVYYCLlFeHxWcMyGRutxmJVV0tFLUIpSP+w
bR2F9h7z3hC3Sc+RWfcPul1XUhuNew0Q7PYSjGjsTJ51TYPsMeQls8Uo9GjCwS2zWZNRrcczLJb8
19Ko7C/hsTEKy4ESFZTcy2LNdNH5ovtMeesfxFh6J6odaHefneG41pO7M3zfe+z5z757yJNbih37
227vRmHutodhHsdfyim7G2/m4Fj6jfphdyNuX58q2TD1KjSnHDzxxnVSrzgGDho1D3/HYm9Em3dX
co4xUXKqzfq2G3dJVsw7tw+D9qGezJkNB6CN6zi3aZxRRb6TKRtcdjGweBOSdZFVK3+I7c4UCBXj
ROzKEjO+pzx5h0OTPCIf4C6w3RApqs1Kfs60hg3uV2UF47NhN+wZbLNX7z0tcrTFJOmjN6gKDcWb
rgldajveaUhAy1ifKJrJvlpKNKcoSBWf6wyXNMam8F6WOdcpht9Qi0vWFggD2HmdrWjDP0vhFemx
retuO49DfQpQ6D6dPEQdldjIN1jyQY3hT9vXjg9PHxG1/ZuDnm3p71TDX78HeJ9M6/BZWeF4aL3m
sc6Mj07P/aGmkR5grAdCps4RgdsST/Bm8ULSqObqfAGuwIrrEZj7dCrFGl2iyoXmDIV6zoNoqXDg
w/2lRBzkgiac3CXlE5U1eDSB0Dr66MllCi9tlVjFH89w+/Fmycp5SdtG6N3QGu13z0fhO0ns+r0p
0SK61KvRu2GO8hFS/G1VuHIbAc1gcEgluJen6bOoQuO8sKpMAAItCsQuQkLkDhjtzVzMIiL4JU5p
q8St1sEd8E0HdQQyxPtrLbZ74yjskSx8Wcrnoe+hs+MofRlVx0hgjbD6hdXZ7sMEafkvNFthbjN6
VD9oVBG/ljlYjni0XWrrJ+/sgQf8A9UGeTuxTXkwAsu9JNKh683o5u7FzlzvWmu+q0VR+ntQNcgi
vdF59Dt63Res2e7m8LZ+WaquO8D+mHZpn9rujlazAJ3KCfRVrAmLPjdnuUpp3G52uOUMxLXeQWiV
wWNvJb48TQX1zVNwJtyMc8UpSLkRzCGkGpqd+dGEKv+aXUn5gGrzlTUAxmCxzVne//BMOE+PEs7G
PU5SYwTvy8BkJ20A4Vjt0Hq2arbvhoWcmM3u/Mmdi85qYxYvXPUJdlu9u7OFbojeGOkbtWnZkakG
I5o38Ucwa80yFrWa4lLn875rqEuwfNRNpjTj2V3sZm91Yx9BNGj++Lm2d1REG2BUUhJySlskvAvZ
1axK6oJKm6Kyhy0LT5uWsGyCN00aAo+vNY8xDQ1Hbpv6Z+Ybc9yoJftI7aq/+iKtIiPLWDWTgoom
vsHROnF+VrJj262DY1bp9XEc6HBXHQSwSJiVwSwW7Fm3kiutq6LqiQwmzaDPcL2Nu2g0I7cBuF7n
U9/I7MQ408QYiWX2ytjgvTr9SDKOrEw9Y+31raeiI0QAgoBHYW24+ksl1I3ftXPlku/VqKEoEbRC
yDH985z2yzZrlrQinIvJvaXEY5NIdzla0h529P6kHEci3NXdnf5FQGFPh1j6OK2LuxscnlGHaqqL
ZxDCyVNFg4ezaZ0/hKG1qj89c/xOXNQFUZxs/1NNs8AqPiW4FrTR/2S+bHaDxSYFM+8yfRgwwJ5K
xcpXYGUp4hLb5kNjcFjuF3P07rpluA+MOzKnCMu9TFwH+1Lq7V0zx8ZQe1P3wDU2oyp7tDbWWOF7
Skxreeq1CTWkaVb36pFffMrczICBJUp5zouweJ1GQlI2zZF7d+rLo+ypX6ZCUvRb2TbLn8muEL1S
FLaPYGA3RP2gJJglex/tE79Qi/IpGjhcVWDrra57UyYIBIqjdnL97Bj0OmdP3s59lCQVwCk9O0ds
fC0mKlVfan80H6hr6Wzm2+Jd03xnn6Z0AtU/W35yCJOkKw8SGvglsIPxHocCZwmQOfJwbB8mMVk/
RwqLnpzZ7pmr+8V84W2DU2bNxrGNM00sUA3JtpqS6VTgb1XIbcIvyi1DD2iLpE4vWKP7jc3l+huI
/dDvJ7rjT4GU353AbtHhV8dPsdrln7H2WefyVuT0HwgFKO1wexiXZIkJ9NVXvwTS1BuT+Y5TO3zi
gOvOjTlTWxIaw8507HHnaJtngg6svyxIym1hCf8RtpPNAO2PMEZmFsE6b413w2OLhnMsYVMbtrW5
L4id0f/pdrd19gii6MEWDyrBGZSHq/6mAjt5JqXh4M03gFYOLmOZRYxyLPs/ymmrCHpYF/uu1XJy
YicxXDCMrjU/JIqhgGq6s+AntJVL4W8nysDeWtt3th4HzaZsocBUeeJfl6zM3q1RPXS2B++L8OC+
bGyKdXouNxflpsXZK5TPi8Qux0PDHSMOUxCMpuMuz452UTfK+lw25ZtnV3+MJHgcJqgQhZUVRA4L
+kyzeqbULuBkkn3U+IQ/PGtYH8uuq4Dbq/GxYfpif5akl2wtsoMXpLAJrJ/Ys3A/Dc6uEESlUr0c
hOFk3KXWOSakXe0sDiRK8OgMlvg40oOXjyDVbNYz7Hxz95QtHhSR9FysuXdN/dQ61yzaMVSIuYjW
1gUYZiEaa/r9grlL8fdM82vLh2nn0LIGk4bQh9kVeQzipXgm/Egzm0qdc4DZ5tmxquA0me20HWik
j32D8pqET/t5XChc3IhGWYygtXl/DPEZI61sDa3KuHH1ISk9b1+o/BQUAx2aMGuDbG/6E8/0Es21
W8ZMHfkpqSyJIC/1WdHLFC8eZxMR0WZEwsS+KA1JqxgNACqqCuWwo9UHJ8fLaTJDrM4URC4Rfghh
sjwma8X7Dxb+O/0mjRFl1WJsMc0b5yztwk/2v86eGgXrQ6HpRCGb2VMLlSO2DCu9lobrbN0Z+Xml
huUHxErx4flre2MCJtue5NN7USfNUdStcbOm0b0Va1fwrnQDwqFwHi9qkNk1q7p1azK0/bIsiyu0
1dIQ7wzNb9B8+BMcSuE7esOrxI0XM/lpas4+sUSrQefqmBuvnRyNs70Qjm6xeB4Mej6O2h5D2g3n
8OVedB4TrmevaDHATn4tMJASfnD99gLFCTmQvniPbu9MONwizeomJ10wJ9Tq2/JqJ64M+iuJ9xnH
XtgHSgGNkynowwE3NzwMGG1Ofljc3AZCQwBRw3bUQ2N/dCD5xsLcriLY2YP3VWTQ8GfTOhSZfglC
mDVGdYNFBK7Buh9LXkqyqZkiRsMPlYafRHNjm8oUxWIjKhU1rGATspvUI1r3QCEyx0x9cYrZ5jlW
zTEMinMALpf2Pmc9eyoztjicEeaKYO8sBegBmZX0VtX5cR7KdC+m8eVe2LMhWzpFdskFb50MArgu
Y/gR1Kt3WLOq+IWOcK/39uUa5TDK8OHwjsRPechom4mhIVJtGtJe3RR+ctaly+afyslDaHHTxz4m
QfiQntwE+ANX9OEjOShaaf0j/rezVWEeFoQMWyt339rWHy6m44u3XDoo/2pClXTthYOR/DulQxh5
gzEK5OjuiAu274AgSopEuKKsHgEZOhXbc9aA+iOH9nTvF5ULwlAwedvMlqeh6v7U2lVXaBmE8dPA
rLe84E9mG8SdsqodK6b2KIPiTqPR9PQWarmuxAbxuNjmL8HXh1d4pLvLr/U9phogy8ogeNJj7e4S
2JIx4H3C0GWLZKLNnTcN0SioJSis5lN4hnmbEtlzw9Hh8lyZMKvJJntqN7iBvZ/zGmTObPKtL/wi
8qc5RAmg133TKvdS1Y4Te603X/wlCS6TaKgSQzJcSeQKiD89XZ1h+AL8Ic4z8YRCdSSP9pMU2Z8l
VZRjmG3DIG534JpdD9JEb6lmx7FpwBGEf01sw9w2RjU/jMVkccsGeMrJhbfJPVikkGZnogclAPQW
VocgaPhA+dWW0/YPLpUHo3bDfe+vB9ewzm4AAIBZa9dN09doz7QUaCGKY8dx8KIsc3kQSYYlzqY7
GYCXyEP3sZJ6+DZc0R74deR6xhafC8RRdNzGGFGMF2gl10Z0cSsJhgAJ8S6djcFXuvYnL3CIQygw
YDkrKzZI/8XBYr1XeFVi6QUKFhA2HgxYCtTN0gx/QHvaFEdp5EtMGJtiDKD8VB5pZvvoZfmxKqjW
nKvXzssZL3Ea5R2L+o4DfFcl9HNUYo9L+tNoA4dPD3n/fL7ba0qnHF64ZPe70smvMpkgy1jD06xK
Rj2RZ09ZL95kAxTE12KK6YRjXgTFvPMtUEhwLDFI5ID+crBpGtHuQUMupKUUfiCVOBQ51d7W7qkj
U3ceIUXDJ6e4GKF5buc85+NYv4xYncepPiXoxAciUjQih1rF/TiG8dhg50lhdH6G9XCSa4/VmwvH
pmo1xJtS4yfFh7ctSV0d86Efd0bhWVA5M/tQ9Nb01K1T+iMtLBXxCf3myv8qCJjNT0TLRqv77bPn
egVd1xwtRl+04RQVTk8Xwyu5UHv3kL726UiwAVLW8/iYVqxbRpwu78ICIlbIhah+bgRia7V0rdQD
5MKuXdqL7bMx49qQ7CZ/9V7WDJpUYq76iukSbUraXnf0PDnGytBw+YjhGH5Vb8JZan5QABRaO8m3
PrJ1uOlakb9NrnYeeM62NuDVxUv6i0wcmBXSZOt1XKUdgPbRPfEBxzgSMqS1GNsLCuTq/2rXhD66
cH4JE/lS2U229xvZ7lWI98igsC7uXPU0ClqpZU5ItAAAHxsJxKb0bqEAbGGwfCX/bZftDTQgNijm
hAVMISo4VcjHtSUb1c3zl9tMmtWByo5enjrX0gQTnk5090WyLFp8Hik/s8OsRXDx09YlTex7VM+7
kn8PlXWKszpjQ9W5v31WXZseAukT3az6WfZpR0/vfR9OV8HMJpWAhG2nH8XqFpceMflE7FnjzMhl
gtKY9AAeKISS+7nIih9KzsN+KLD5N0yaDFTFiCmUEzlfTUVnsU8ulffCUlrXEIU8vUzecq5dabwn
NlVAsuXqse1ROF9D16VC2g4KuoHBHkrswYxkftJah2m2zLP205qns65WrHGL50OOpKUqSQE58lvQ
i238btzl7XfYg+7RGrzub5+1jI6J019mxYWpNgQO/NolP+I1Yt9BfNp38IcDimo6a5vmWAZj6jrc
u8U4Vgx/wgpttSGJIi6hcu2XsbLTU7nY9isv/vpx9ES2n9KObLypum5vy0p0O+x8Njrl3SnN5b/l
6PPXaHE68BRk0tmENYudfQce74tNjgPuzbYCbMNY8/xlrp9k13iRpZ0/SWiKn6awSOMSYEp+J2Ve
vTKGfMnQhVdRqGd77F+pop/i6b7wGtf5MKxLuyuYnc9aY1+nZCWNUGGngzbW+ru9+6qC1pERjDVz
OzX02KWsB+N0KdYnc5yAzZioozDOAtZmBRXNiemwoPMA8FaNT0e8bB+CQkCW7TSolWx4mxbEfdNW
H7nVdZHKCTCTPPceVioJb4vRdz+cFOTGxkz8eS/c0emi0SFV3LpcbNLkNcvC8IhBiXFnBJcXjGed
S8kLT8vTYvt/c8b/jZDVEBesoHgTaPq6pzGgE7ysOEz6tdDxOFj1hRqzJ4q4n7yUbvmMBsWIkhUI
cYP9C7QjDyMdnlddMRsruYpzT8379+Sl6TZpwh/hYAUHr4VUz5TkRMtUMoSFogX4m5TyqCcbt2/t
cDW2TzlT05ssqbxHG4Zc5cPmHXVgHLjYkV1S5fOQY8TXCFM7vxsuFoN6HwyQCFe2ktvJXvsjqCnj
YVp0yBLDec1aj7+uqJBXVIHAbngTNG2cyFCS8IS00WCJR2PtTIzX8DSCxJUnK0i5FBdFyGbIK85D
rW+WDcgkUTBPSRBYJzsJXwhxOOesrl9MPkT4N7DCT3641UP52pTygcoqsote69zpnSSi14IWkcgd
gaKCiRh2NhMO70JWo852CCfeyTNBq3PYiAFbhAnStVlmumksjxcypMD2jfpI7zeYSbaWDUhBBgts
S6HbHxsew3gJ2gZvzFrAr+C1eB2yPnlS67qelsELaGAGAl+08s1NvWevp/dtdMJvT1rwrtJLwLZ7
79xTZ2oRzyFz0TnHi6fgkueVel9G+emC1Ny0fZthqPdBZT0nlL3GKwLLi4KeFtnwnG7CbNQZLsIQ
U4WCORnWy6FQMyON7psYBB1wYsuPu6ylWi+499TBFE7HZ43WdE3nTBKoX+fvCgJDAoeyZeweFLuX
0eUTkNbuxRptdDFYDeYWys0pnZwg1pY6wq9taBOHGEGECElwzJkWgBkuHCcABMg9uI7JytEDAtDh
/KeCrrLfzS6jvMwfW/dIvUb902LXwOdntJsLf6g8Ua35NgSsqErD3jW8367hUko/MgB6/loLBjPO
w/k5n+lFTNuavFuoBvMTOr3xyr1fXFYe5XddlxOwViuh+3PM+kfeCwTz0tEpf0AdmH5l/sC9jqVB
OCEKFYW7nvuaFhm2t8747pI2f5wMzcd4KfghoDHN2UOyznIBIJYzZpatCF9Ly+uPmW5WXlfKnL5m
sohvY2ZlNRYV9lR16jY1m0zHaZgGcb2nGEXrSJQa39WaVuQ3yFI4LWQRP3/DEqqOyFGMcUAs8h03
aufgj1W+brymte/Ndtjfw2KePqVf/wLJaETwJn9xLTfgyOUw2czO/lUy8CG4rSysNoZkJdKPZnCe
7CHnTdHwv3jEf3hd4AYwUpruJ2lxPkv8stlfDeH1PwUNan7U20lD5dvkgjcRzW6dHO8YJKl3RWUl
WIBPi/UYmjDGkGHX5qX7PNLzxKfdT3lQOp+f3ph5ggr6RKE/UVwMVC28b7rqDaPiRE2RO4LOBYPi
WzI/mJqUoHaQIcsEoLB0XANAvSyvAx7SFzZrGd7DKlpXOokj2soqKhgL7467XCVQMN/T8C+sxP3Z
ANSbtk5pdqfeKKs3e6ANlvKs6uDrUjyWs1H0kZ8EM1K0LSJBO9s4OVZkihQIo9L5DkVx3808wOka
fNeZidu8S+QTD363XY1wPDZ2Yz+aU/Yd9mz0oA0QGhvn6ctpIZf0TtptC2d9GklRx3ZbhTjKVprc
Mxvn7VCtcbd8YhUuerPDWdQ8oAg2/P7OekvbDr5Kgcs4D9Z3bF5mrNNGbUc5zmTMLejPhHBE7XLr
IG914BaY7XphJLexJUHkj94PndARDZ456LYmhNqrDFh+aVZgN6dICkgHteu8IjatuwwG7jNVrPmO
Lkf9lQzWH8D2blSEifNYK1W91zlnByWFJtGaMH8e51DsJ9cr70m8DmIdKgoJM2ivIZSphIbBqZDy
NRvN4ebbCD5bu8JGGxEoz8/QAhkJ0sCxsF5xJrsgCpJV6Be9FNYBiyPcUR1yQQOMiIJ4XMhzRTws
/vZ+UuPA97b+nUHTYgjYYMw132mhoEJipFLaGabyLsxascznCRd9+8rNjCllcNQ+gKh3lbOkz3cB
bb0U9g/0t+TMICIvJdNkVHVcaJYcw73b8qqdpCy3C9rfFYSt++Fj7KpSc97JXCwAbQb/ULStOrer
le+KsTdv2UxUA5GBNefQzi27mwVS3VDPyUs2ae+BdSVfikQU9Duqn5GmrSe+q1i3PWdpr1YyuhHq
Wk3L5uoTAc3aYL3Uq/bx8tVVuUd94Q6I6qZPEInyiN4bnh52qa/p6oyPYmyfjJRwC9u8a6cH7+iU
vqRJ1HObc1qnLOM6E9xqjKwy7sCrFBH1UH87CPE04XhIKn4jxt8l1oHdYJTJQaTg++GNtfbeYlA4
A6s7lNUyfBcTNp5tOBkz/jy3zt/5+f4A6SX3miUCRxe6OhxSi2ubTmJP9p+mIzOIszkU15lqXbVx
WNOx3EG/M2PHEcYIVGr0tjMZByJU1nReVlg6QVePX8Milie5cD62nS83Q8bFgGIHwql3sl0L6Ysu
WX9m/ic1ld+GLuhYF8teUBbJG3pozCe0hl0+8/yScXizSrf4vRpV/tqHyv+NAhdeXAKchEhFu+G+
TW9kYM+q5l1olUTpjObTQJB9bKxO0d5RWzwVlhGbhWh/YFQbFiyqU2FvdI4xkLMg+8UOlJsHOeHH
lGz+FmOQbPjBgQ8TQh8buoRA+mvHPKcVoHctBwQmAxJOPRhfCTmjH2HGvEF6aDLpiYXmwz3ehdHD
spJrAj2he0E17QHPDib9Zuw+WAx9gZT7Oeuw5Bj31Juws/KYd1DTNxyn+afF/fNjWExkndE0Fxhi
zOncNWjQhs6KO4A7C8h5oKxFoevnYKnWKKkD73GoKh8rbzkfSPNPa8Smb9hZfUpWlgIcPBkzBAlq
QebBiJaSwuP7BadgLbFbffWM4gX1M28sthhprw+0GodIGUawJ+9jPzeOOV18UhingffRDZOHEa1s
+mkc1PqpdFPnYA9D+pkNtXjriqHA64BrBbUHOC5xx2nfj/f9OPRQ60HaM3snU5HdpreXrJcq4iYH
grwhyjJt83ph0U7/KDWFBFEHw7Iv5lgC+a9tTD716tlt3AQ+aa+OzHTg93+llQ/x0CQdxT4SO4Mq
ynVrC+vVZ7cf5aYV7j3eplv03epilPaTO9XQnz0ycba7+g+L6hru+4Q9plJ0RDuDOXh2EL8VVyQ8
9WZuVTdE2vAFoIh+QsC+00Oy+mwsHrpabU4nqfxljdIUf6sAtv7iLKiMC6n+nj30Heev1qvAQLzD
SaP2HKX4XfJlfBzt6ma5XnHRzFwHCjNF7MzBO+jdLO4lhuKoC7R86/DrPM2TdvXGHB35rjvAsrhI
V8xN+dRGrVgJLGmYXyBHxaZa/GOfFfusmrOTW+G3rZIgAJnvPoDWquJRVAHM26U+ssuYojVvKz4R
ej5ZLcaZVSr2m8r3Sa3B8P+EzILrA1jOh0FAPlDJW6jb+YkEKyjkhFtcoXpS9rObxZWWzxk6IUDw
4eAEmLb7MFzOAF/ZvJa6fiiaSQF0LI5wvufn2ieEMnOJuoRLtRQ4WT1xbf0Q7pQ1/wp6eotMEpwp
glFguKe6qxBtSKSMB5lo85PqUqhYkHX3MC6qN2v0eXENaNLHWtYnLLcjUWcs5BlBlDjHj/oO9mq9
Bn1CGrayO9qqEKopHPJAHeFX6iKyFeUu7VJ5oGUJWwfs/agyu3Y3g6CrOL4WoJRtii6bOWb5zGt6
Ku+SvN5ycjQ7NEnzPNrTn5amlX3bp+4B7h+rPSBWLdGm1gXhK5YTfgJwRmGqyQqmmtL6BCIxqIgb
Fstyu+YJK6nQqm/Eq9VtHhYanqme+4IZLkkbjXo668rsI2C0wV9Pi+R96gtN3TWXUjbSSVfwyV+7
R+Sl8ANQ3RK3ecPWIMNoW1CBsHVrNzvK2W2OVebbz1buQcyoexbla0YrdTgL0k6sWH6VM3ryJm9r
JxIsIrE7WN558XoHWPOseZ+tPVtD7Z7hUocgzqn3wLeVoye4TvirS0LnxKCS/mJJyAwh76so0cnn
nEt4xUVgdE/wT++roA8Tklq6CRtz+FoTz35nu5F/4U9bH9ltiG0aJsZ2xRn/JzMc60YnOMpB0pSv
lNtkW2QBrvd3sC45cP/lDjnZZ2PnEtPzstsEVCONWofuqCGTxd/GEtNLzfGKMEP7bxd2Lnj0tqwO
1SCdrSGT5DRWQuy6nrOGy3NtPpXlMn+xZvGuSFblNiDxRVXejPUZxcB5qUYu4EazFC/0QPyUvaKY
RHF+jmVyyvDGI+e46jHttPXt1hNrxYLPzKZuBpMzMTcwBqkKi81qH8kJ0wngGdNtXZGLN/Y8qhj4
VrtbFYuMVoaQAELb+mvLIDnj0GmJWBmj4l4Lz+vJYzjYIcYlp6rhczgrjPYbzVWfqzPbAtQo+zY3
fXKTYdhsU4wAr3VCDtik6mhyuUtz/IqDqnwfLS0roE6U+s2bM3hXA1VX0BUGNGvG2pgZufgIZUvG
szOS7HOCdyvvuLaZtQP77RVfDa+o3Ch2vimcc29763fd5h5RBdS7fqhEFHLljEJoCRHqzvLCNmw4
uK5/d/fdd++tOfZ/MdcsxEpS92XtrJXsGVE1fm494a08PLUFQbUJiT7io0q+walm1ie9z15h8Qzi
+6zNeSxRsCv9MOXDc7VaA864YdqN9N7scJMxc6a5sa+Rbl566C3cmHuqpp3O5lYVWDPJTbT3vyvY
BU6KtX4rADcwC/Zil5dec2ymOXlQclSPgBiLU2bx35+uGAUJxNPtx/bxDy8c4zolSz9svdIIjI1b
lryD/hteMSmlXS6AaWfy5GVwJ0c2CbD1pPwij5oioWAZfvNK9A8X99XTVCfyB+3u04MrEF3Y02KG
pQyv5I0k638vNPz/TX3a/2nuJKT+v9//4P+Jj/of//qP0KT++ffeAUr/8g8MTPmwPEOeXm5/eiAA
/1E5e/83/29/8Z9Ipv+DEZ4VeYhh+3/vhH/8nffZ9392wP/zt/zTAu//w/FME2SSZ9JtGzjwu/6d
5RRY/3DolHNcy3Q4NJy74f4/WE72P1zfdekP9U1AJZzn/8sE7/8jsGzL4/dYd+Cc+//kgvc9gFH/
aoOnepWSTZA5gXBMz/ov+DB8ax03lWHdtWVDYR2sUiB1zMbmNfNVtlV+z1artZJtWCHPbu2ySi5s
fMpdUuruzH3Q2nKysgqc0MLaDd0v48a2B58YZTL7as+CR12JyFCAEOKY2mK5DfBe5bM61eHSfZKk
LlkeNgy1oszQe6U64NwdthOeqUPXpRh2Hd+B2MSsF8ZY6Ckqp32DNjiS3eN8F6xVfSSV5JxzTDRc
xls4r8kojCsZroLoNpYEAmShNv4k/ciGMpit8Cf16EFkmjNJPIxCp2YMCbFXuLEuAamFj96824Qs
M8MbWrQ+oFmVK9JxNsFbOB81Of6h/JpxRl9zlb9CvV4jF1Xo6EpPfSMYwZ+yu+yWqMF78VanvJq5
tPeaTr+t6RMBzpcaRuliGBtnMo+DoRgjmnrdhnzrtlYqMyyOSIQmQshN1ay2iSni0tXl2U6HPEr7
4reNdLKhgyO/JYHLCGO15RbVYvlBotO7ZC62zc1qGlhrKLli7JCBEKeCpfga9aYAltKPbcallO61
s8H+GykMKwr7mdKyuk2rZ/Q4jvvgzUpX88lben0D4VGy/6a2lJoEmXaPhdCLuncK9d+Nn83dcQZM
e2ZNjRBhNnPy2AQVFCVKH5GLKiXBjkPl4TqBJzUDu+FzyCIjpeFTT70jbs2BVyBOeqc+9bqXUcIp
SxQNmEtOJ1KV57v7ezS25zvmN+zth3wy5A8D3AW0rbne19Jo7l/SRGlXGgZv7dC7W3cING0J1fQ4
YI7jRxlO962CDtyB41JNLzQiZBibcmF/jO7svTetpTg1Z2U9E0bxHj3bmaoYm31zGNkVH6rQob9r
pijnY6Bs4Gfn5vIZZrjYCgPnCf0Xy4Jdiy+JU6O0GsLQpaI5k3XWLfPH4DD4BSvrItW7yq2A3SbF
1By61r9Tr8thl04vtsrHyJ2nnW9k79TRahY1y/QwDnyPKQ+RX9rvxn9j70yWIzfWLP1EkGEelh3z
xHlIJjewJJmJeXQ43IGn7w/UrVvKlFqya1abMuulTEkGIwJwuJ//nO/ceg0saQ8D/yrs65tBA2Cb
JgZkUs93eAwRRkA57XyjR6C0qu6KWZNT7UvPG7irJ53yvKd/DSaQAXC8BbpJ10pEgB2EN3wm1zDV
d7zXXwcQ7xciZ/WV6iKNLKtyNmZz0B2kqNxLAyPoVOOPoHjStmIoFIIZOETJ+ozDpY93tiIjh3yQ
BXfsLsUz4Q5AMxoL9ZUA4vSibZdOMauHj4hiSg+o18ZSH1VoC3mk2snPtubohNOra/IlPYiwUxvh
1c0HIV3ydmur8/32EnLtI7xiIM2sL0aSan1M88CzOKGOyGUUJlJB5fhxHEGb6nAoElHP+CoauJpK
Il6fMtQDZ20SJnhKQ1i5AJerL5at3eqUNlm3z8xiYTgPnsx3jN8AirBEU1kReLL8kmVa7WXUG96a
xf5ZdpG6WM4grg0ipE9lj29oncDUK1Zhqc2PIMiDvQCKddXbTbFjOsqMeMhjf0U1jYMooae3WsTW
17LX5TroMchr7iJW2Ba9Mh9a5tUMdNaArbxJr0u3az6ScWjuZtePv+eGmA5FIOePXulxW9smv9iK
M+o8SofR8568ticeM7DoISNxHGfrASe8vp9Eh2MrEEIz2e/4p9TmwWtbWh7VNqPJxT/EtqY/opKq
glhdMTM9VtKRFWaXTNHsViTzI0gdm1EQsZyFWbegi8UnxniZ8OF4F1Fxpb2GWWuQEN4FyVsDqMc3
bbdxsyf/ANcqavgqy+SmpIbi0od4XDlKazRvN5lXDg8eWhFFe8Jyii4nFwTzhOXtKmE08uQRwr0M
xLjS1eza7av8JDj3BbfEShAb8TaB7JxzQm3dvOs+sc/VJwK6SBYcNN3E0zv7uUWfKaboLe0MrAYt
4iNb5yCdIWJQ4oNGEMyOTfR3oj8GwrIL6TNlYEOVgiBGzlAjPcfMXLONL2XC/J4FPrsJGrM/KypW
m2M+t+5RtbarrijdUwfHY65mCaM6N0iZBxXj30fj13qd02O7MlU63Ada4mcse/MbIBKsamAi0clj
3FC6cBFgDWHAJEddQJclXsveG3Dat57ASLkpwB194Qwlo7XrQ3c+gLgZ063sfNATi4EcGl2TD2vo
RdP3xIrMJ88a1MMQJZzZm3EaHmAUROeOe3ilDdu9Z57ofjFEVIHQqN2T8Kiu8PI+2SiF+SgqKboC
/aZWIcP5GV6APXDDrpZClY+qBHPBA4fuHf5EwVY5w4lvrCu+Sg4I6BnTTvRQ4Pdu6To/2DhNckcJ
XDXdOYmZPmF4Zv4r2XSdcaD5yT4Ds/2U65z1LjD9oT11FFj0277qhhuDRCpG0tGOvrQlHiB85Kiz
WGE7Z3H9jAD8QW9pwmPs11b0fBcePmbBF525eV7dCCpUCYHjO/5Kp6V508OaYSbkkD2jyWuq2UOg
cAB0LCGcMfRHpZmNDSy02UHi8cQDgWvjWxg6ULg9KaC3ySRhoTGr1KW8zGYQZ5cuGKeq705xapji
4LcmiZsileK7QEwFXkX+NlxRjOQGh2Ya4AT3EsfvMirJONmbKQu2P1uQi/KhUleBNgmhUERDrjfB
S/thhbaHM6sem5NIOyqrXNW9gxMtD22HN0S6kHyoR4xB6Qw28Qz859W8bZuOItY8N5OvFCD0Fw/4
8xeIyjMegglc/mg1T+jSlPyWIkusLdxS71z1It/m1YitJSUtjZ845lEW9y8ztUnHvluCbKP05bUu
2igjf77MehoG4xVdrznBxbCgXBocJIAE7J/YOBD1QNznKe6GrpNfOeL0EuJdZFkIB7Z6YarPiKYA
ZpVsjdBNzhDTkifiG+l3Tg9MUuNRlc22kc1srQmbc+nppOpoOOxbhqA4E2ywby6Ud8vBdxVjjWBq
L9FJMH+vOift9z1BbZRqpttGNc3beUr3bEgPhVngRuVUVu/g51E+bVKEvCr00JycUGGKW8bwpghY
ArOqEF9UFhG7TAbsPVW5jCa5Kk8JhonDgPUOoEOiHmHXKfp6YuLUlqu/Rp1f0v3Tm91bggiacfZN
nXesARRCjVuqpuavaex/x8XN8dk3k4OIbczQIdZDgIKYBFeRbPyGMthqws6HnryfJoZVW2PozRfL
5Wn0Je3wz61m7Xi3zuiHxzkT+RJALMvukAxkgfDOSbCekn6JN/Qs3a1nFgisdQ34BD9MjRFZO2oP
JKyc9cAzAK8yNqEmytRzPEASoGHBVnuRs8ukmYqB5eJW73DQTgdDVKGmQ6pG46ntSD2GEBCR5Dv+
aCzwMEssNgl2VrjeBs6CgU2cEhT2Gj6/W4f9HSsQQTxpOowQCrzetyZeWloWrcTYkMeNbou87h9M
wk3ULvq0OpG9qLtXPwsW9l9LT+qGDdr0NQx1+y5JxrfrYKi76MyNx8Ywo/HmW+RjX8G25lzQouzb
CgzuU+iENGQ6rWRY6iQ+MVk7mSDtZEa0h+SoD1w9Kt1VBGc/3GGK4OrNGZFZJ8CUbzbM4kFgqRAo
1bS4nnIxLOZUOz2U1IiDzhJB8mIHFAZMXCokemXJFzjgZviMS1rfolDIkwUu60rZFYLZFC5bsEUi
XJfVbNPdbVK3smJPSHonmsRlin0abjs6HgziPHjy92ntVt9ZJPJv9E0HV6R9ULAm3dVbPjOTFCQU
C8AW+N43OqvjeGNBUxBUE525WQFIZsqgRsSxTgz19ArpGhiDJ6kjsTD+kb2xrU0WMHFcWX7upExc
p+Qpp8/8I4labu0+9Ys3Lb380rcepJEgCzVivuitN0dm7UabYGSRhMDDTJwblVu328bGOk5z6qqb
i3wbOWl54+Qwl5rAX0QpI/HXkShZWNomPyrKA3A2G923iCwNFApSTlSNzG+67ComjeGUXE1Rnb+1
NrN8aAMJtikLhndcmQ8Z0Rt8TjxDrse2jdXetgisrhmGMbHgxjIJQi+4xSHr+7PNbbHVlRpC3HAH
RgfTGiMLjJ0ScCXv+y4i7g7cqcU9CXIsOE9JjfwqMbeQ3nLSg57ZXGx6iDUpTRsi/YALxWaxiSn0
9kBmUtE7JzuvqinTHiJ56+N+WAIRBm60sXxgvYCmx8CZnLgCxjYW5HcHxQN3mqeRialxIi3BiYp2
0CBntdWRmzx0zfwPrKLgV0Uh8iMHe5wfwWaDNb2QjP5Akg+BwlAYN2B77q38rlXzcO2mvrWBfxGc
spnkm1Uzy/+D5vIXMXrg1j/LGBGaIL0JVF/x6Vu/sqDtzGpA0ha0AadJeWGXQf47VrQamWSw2rmX
O45k/lEQmP7+96+MFPOnV0Y2sUwncBmTu7+AmVrPA7pSiXnfhS1+X8bx40o3vnHG9UMHCJya+uPz
Ff+nRbYr5laNaH4MP8tqn1LZf2tu/5ukOMvlWvt/K3H/hw7ln6DqMCf4gX8B1f3fTMuxEdocUOgB
1+i/dbjot8CL+Ke+y+4OdPsfdLjgNyQ4z+Iy5ocXmezfOpzt/mbZHP5D30Kpc3gC/Sc0it91tv/G
UYTu583iWTg0o8DltX7BUTRpoMzUEM4hTmc6g+iPS62ttGIn35sNmWcU7bm8DbMYWlIEU6OGnTYN
GEYgrFTrdAhGdiGfpKW5AbpUf/KXnE8WkzZkDK1y4TQBRwXpZFnu98lassIGA7WTCy6VznRsRWs3
GrOjXyfb3KvFrZvV9h3oRiwO5BjweRj1RdtRdhRAma9goT2EbitYDkk1m0gmm4Y85xWRu52gDSl3
Vb6FanaiY2gdtFJu5l4BZ5847NnLbGDuw2YX4OXcuIUk+O6Rc2q66CpODOsaoSzZuzP4LSvLzpNd
ktwlZUgWGUGy8ZwPZhreWo3inUBmuC/aLFyh9cwrqePpSCRwuJujSJ2KzEw/2EHRWj1ZNH9aw7dA
G+HBDMx+l6MVblTEa4aZ/z0eA+t66PTHLMlomHpiUpcb137HYyOfYYSmRyNxNkMVf9GcHjGqXFym
ysMkT5Vr7bMUsQ4LiPEON13tYu180Cu0Fy5b2sKfDjy8m7WtnMckwre5yHBbr1jKABMa7yhn+lKm
ICKHIHjxc/OS91bIYrIBzNuvM6m7bZR04SaUxngGgdrjQrBOVdVMZI/dPdAG5v/lcFv0C3Nz1kvz
LPiQg2rdt0nB7Kl637ybHR/EneQUUtLI81oJm6h844/J+0LpX6UEGW4LRMA94SD3ve+lsS9lF95U
VRKcoQdMP4CTjSugzE6HgUTPZ8J+6tKnxY1ptdkPt1ckdaYWNlECRrASDZOLrBw+2kIyzA/JUQEr
LVBV1lZiMayajd65YW4eM/UIbwsAmGD353vYVHdFYO6NRMFFqjJ15AGXnbNuoHnKLGL7FmhBt8m8
6b30cr0DSvTKaWy8EoF/hOc302hEddR9EEh4FYQCaVBBOul8IpV5q7D2O5yN3Ho6D0VwYxmudz8k
QliXIIhzdmPkqrpNPRmIQZVbVHI3VIzh10apEnJJUenDDhl5s5uSlkGxgjjJkA3XcVVu3ZmNA21m
uc8bpicKMFFIh1QOBgzjc+bQ0Vr6swkOcexw07XY4mhYDdiGkHRLqZcNqDQINnEZK3z3uYWbRho1
Mi0tXRjS0Wer4SCtqB3WqY2mucoLN2tB/Oc9fEKjDod5U1ThYo4wG7CjY1gz+Ulxs8D4IBN0pv60
VDsKjtnT02/bhyQBOga7hVcazY+2yOaI18W0vTNFWkYcjqgeZVYY15DTUCSSLQRJjHrJaHrNPnX8
ie4BD7fRdsAHlu7iygjFR4NAX5FZC6F4WA0tdISpIu8VsXT6UivumAip67ZP+nDa5LGVwXlDjoQG
aytKj+0RytaaKS9nC68pge4w2eTDCgqDXJWLRsnpjrZj7pCB9Iud4bJnu1o9CJgi31XcNS5JIp71
xMYyq7j1ATjmu1m6dbitBjLf12lR8+1jz0r3yahJkdvEqCm/8sOZ7W+CGWVfyTSwjn7XD+V7R5lw
touCgoSZXYUxsfrRYjoZBRlxUAlbtJ7NLYZqXlC2xYZoCtowIPJAHqdY9x57bgp2GzoUDNt+Be8N
3hhIzTdVL8D5MtXdlWwEaIs0nMGFakafIQZJL6WowPTFIzy7x3TQL2ENTFrUHWcVjzZ2gqXlnZNb
LHtZArylrocHukOa3TiK8Gtid4x5ncGdXy1z/lCg/je9Kevn2OiXfsaNIfJFlR+Hs8/vBQw2mJbn
sISqsboM/Vg4e6h4fKIEWpdcrkLfKdlL30x9aW2NVMdyn6h2sDdNgO62teu6VGdW7edxcHWw89Nu
eMiroHTu47Ib411JrckGT5/PdHc5hE9Ye/W9V5IMPqBgMloxIac8lIGVfpC9sbyVymgd2oS9mz32
qBnjK7P5oac5EIPk0s4JXq2DX2hRIHnAYfCmcT2GK4amTB1CrPWgA9p5R20HmVMtxtthmLIb1yBo
MDpaX4WOvJsK6R7j1M/vmOFJxDVGtsZsBtjcSv1V4OC/aw2A1ivk5egRpPp0N8V9Vd6OUdO81Y4H
H7mY1TEeq8BASQ6rbz5K6x3CGEZoe4hu9FCNC0svD98SRs9UVUMxgB7jAcnpHRkX63hwwh9hOXeX
dpLqR8x4l/bqqAmoGTQ65sqBAdzCdvw03aIg5uWPLPTRRHMjNa+LcfTvm8byv1TKyPfZmNnBLkKO
KC8WoApWhSndGnXUPzZJ1yZrUagaEmbY/BiBI7yoziaB3rkppRAerXkrXFb4YjKNI8RoSCEkJZrk
Fckd95Fwbldd6laHBfG6xvXJoRgjpzAzDV+CJqHKOReR3ucIufbJtwr3ozH68c4v7PDRbEB61xn2
O0yScYAmbnmvs+QJkk2sqqugmpIXfzSIvWgrgeUzlQSlwD9tQjtAd8afymjMs0j32sNxdO1iJCmM
qYgDp2mwRjR9sQtxtiJOGJMLryiaxZNOLeMaSxIGRJ0ILF8+hXvkKA2IF4tLu1askl05QXiHcYWV
dyq3aYl+IwbNWGl2HOHd9flYvlQi4aJrkO6WTPMYM4eKI3gb0XIywzwth5hIONV2mAFMnn+08fr1
HaZKY7rxfPzBdwaiGbZCRNaRvmUHEU84lPBtWtwMi2pawq+ujAJ0fRZimNknfeQll6ymnW5Nq8R4
ZxEHS05uO3vmhSHMTJglIpmDS6i5jxpNT+6cG5O8j7vMa59jkBgajgSxK3QXGwDyti645SNiLPAQ
wNIUnEn3auiix1hX/l3OzgUDU8y6D/0xOxju7BwiL9Sb1s7sA8+z6oYDLSlKRgZ7eE648yfcnhsj
F/NFxC59vjWG5XMGtaBbt8SKqBoXY/+uQ7+jJ2Vq2D445rWYFDGIPr5HgCzWvcjAr/v4FUXZwqm1
ZAcDNEMpEJSnF0IBCjBbP3kEKghPid1NzTfckHebwq69YBYKi73junl0wP0PwnduB8+hlZUBxK0N
NOImhANB4jt1nlyFGrWnulfFEL8KluVq8H2a0xF6j0YYO0+TBX9w10xTkICMlPJBO7lqjxbVXrSB
zMkHjzkWy7hXuOtGlToJgG6TXmPOH99aq4pQw83ydnab2y6w9F4wKuIc2FI8Us/eBaZECKneO3cz
nTCMdh+Zb9Ghh7pyVsAOvvHAyB+AsZcfrWzHfVd0VrdTjlEQE+tjKuTcoPtIEgShhq5taohNCOFj
xQOq1WlAYiOjiQnN0XF3nRMsdiyis/2euAjtR14KOUs0Crum0oBOChd9pBum5r0V0/vwSVAdrIxm
5ca0oauSAIOmgU+MgcsfDmd/cWTH+PCHg/OfTzzLwfoPOgFtsuhLWAKOLn2ww4pxFJaA0sgf//OX
Cd2lHY3ZWgBR4OeXoQmnbuLYUMdA9+itsEhyahg6N/iHt/OzArG8neX7tbBkmJwI+c+fX8eKDHsg
OSSPs6zlt3x5wvvDzIkgmSCmrrVRZN/LEdsSdvbKDv/h1e2fZYjfXz5AAMFKEnC6/fVtolQVBpCj
4Qgttd0RoRoe7LDyd+DtZi5SUd6FHWm/As7X12JqcByxmxjN6HFmd+F+bjMo6imXjUfts++f9a0O
UOt9p8PhROcB6OB8Xqi6hsrKG9H3LFUN3cfMxVJGdV70e4Echp/ke/MXl8ef3xAnYTPgyG4ymgDR
+PPnORMMZ1Yv20WKFsSTiowAGZWeytwydol4xidl6Bz//mL584s6JtYay8ITs5hvfrkmezBg7ohZ
ihdN5osTOOylB2x8ySkLpg4X0L/Vib94h8uR/ucjPy8Gyps3yG9y3V+sN0nk2HUZVsNRzZmx9Xr7
g2rLXWXq4R/e1Z/vNNgPbENCjxyt63jL///DnQb2yGKOk9XUDQFMunEt0O7s/S1PHv7+HX0WJP7y
lqiQ5BTJNtGGAfDLl5YUzMu82SuPg4vvM5VsKRjkp8kFqdCRm8J26Emigp5zXpsqcVMoJoC3cLJo
nWHLJz93f61F3oeIWjwf9Of+kN4s9op//6f+6TOxLJtLK0LY4WPxnF//UsbIQ9+E2ZFCDDM4tqEc
bnWjOSz9x6/jcNv/bubywN/+/Nn7XSq6JJHpsY45DGx6AiA4WSimP32+zv8XBf/Bn2e5psNS++/7
7k9li4es+vaefiv/klX7+w//rhAG0W+mibmL9kabwotPP97vTr3A+20pRsWJh3ho/a4d/sup5zi/
2Z6HSzvwg9C2baoV/wtX65i/OdxvIU2Jlhd8/q//sin+a3H4vS/zr5dDtvI/LReBS62kFVkYXNEI
IU66i5Pvj3cxjR6t4rxLLQLto1kgYLyKiBNZa0zduztQLZibafTMNDbc+4bCvOXGwyZQOURrv7M/
TLyoh2IEA4tMdyOrqNq7GJhfwbOQlZ59gO56KLr3bjDpvxId3hI1JdeE6PV9uBTQN7L+PGoN/UdU
x9NepyK4bw0vU9vUbN33mCS8u6pdP91xgN9NkbyChULTDoPajVT+cKSzBdwB/LGJquVd1kbAJbPu
0EaJfAHsEX0Uhi+dVZpO8b43YrlzaosjRZmX+iPJ3PgVbKQ8zSK3N56vh/0MQuvAwxgVzDZr7DSd
3CR2SaQ0C2/gy6rtBADm0KSYebpJ+ivVueYhk2K+VT6IzijndMAg35/Io9a0PM1x1j6N0Ii+Z9QI
Xw2m4Zy6UD7Owoy+4FMIb52gcy1iIAiltt8wXQszolSrcuj7YBunAk7hVOVL6x6unKGxixfKfk2G
wXo41YX9Tp02NMgiyy5ZCmwjC0LxUJJLI+AgSMHGs+mtkiLI3lJ0yi92nIQUbAj3kpBCeGv1CFpG
Y7T4MU7+cFVN4fjSsCu/4gvnfXqoc3FHsNEz3WvlgT/YBFQ5wQ0py21shj+0W0CV81MS8uU4Vqeu
WLalpfOuKsVMcgY5vmO7GK+54F0+KKN+cCs735WEAAFGSfMFgABPY5+5MFOnZtPKwrpy0lQcOCF0
G+VEvPVkYYcl9GiOoze2sHqd/OwZ8XPYA7nyCMc8skEeGPO1ROrm1Pmqp7Y4SDtk3ugG1YJoJRHc
h1hHfKaZq95WFckRQY4ssDH/+f0WN+p3m48kZt/ceteWNeZHpEri57F5aQezuqhmjj681k2e9Gjh
SlVO9TxpuzyFTMsfFRBNEDSaBqpwNORaUSZwJzpqQMlZGOBqGherqNvL9kNg2o8W6KQlkxYzbG5f
zw6grlz5+jrVpQTrb3PVZpTFP5VBZFNjydZvZ1R8ZlFumRujr+Xr7KXN2QjD9h7oXXAmQxPuJmX2
K0fnH5278MNEv2+plXvGqIM9pfLGVW8kZ6+f8o3yinRPhLt+sqAuX2MfIpHtGSPsqZjo3apL8+Sa
TFxy68yWuxlSB2rBZC29abXqzb1w1LiiR2laS1Ju64BT4Xs4FyJaR57RHSD7ujtsvyFAgOJ2ls27
sDQgr5j2OVNtbHMwdn2jrqoRzE3YoTxEpv+YdsYmsWobJOmid9qpb2z+sFb/xR7J+dWfzKpHtoV1
2mIMwyLMcOaPqx44y4D4ActB1lMDvRq9BnG3BYGacjnW7UWDdVurivGBqF9KAsDplvLM/tolvklY
MYZYi8kJRaVK5YbS0/IcjQsCkmN6cUGvqF+arux3IlCZs8Ws5VbbAVtEvBqI/d9Hn/dz8XlvO6Sa
3SNNDQSlxbIuKG9iYqFGx/3s4Ste//6tg3H9ZcVf5lXYz9mxBS4bRfOXFX8yBhdqUWLuLS95iEp6
xOhlejBC/Yq+kK+spsAiCjj6EvQSXDDTI4RdAglcDX0LVsFIvN7aejOmNGbAMaqM7alNn5fjd6AY
ySOky+kYdOrg6vKI1w+TqS3711AMOxofuz0zoJNd2uG6KLL3rtMNWGmrutUQh47sa7sNAg1KrkUj
uN1VFRmNYiQaTRHWsR57x1+bhTkAiCnsdYxhdzP6QIVwSlWAL1T0yqG9fp1Gc9wpH1CAjYJ/7SVT
d10mII9SZdFLNKjgBQEpPvqVE99OVTbe85/Brp9l9pJThXTSo5o3UTSE27nyvb2S7bxvfOVcbBLg
xyQN8VQo0M67ZLCTh4kD5rhScyLW/Nlq7eRFuivw2u85zfuwSAgClg4TCp5BMtv2Iu6fBxvAd0JQ
6Dl3YOJ1Ze3+8E2q07KhKM6kx8QKS2F+br0S6wFWIu/ZGDwaP+fQeHCEsgl0RpgW59BsvkNW1c++
0fjPXtDUtxCy+9sQBsHJnCvrgN8nvcSd2R/s0T1WsB2GMQ03kJAHcn2C4uJAWvrOVkrdaVUV19AN
JIV6pZURw8VxUU4SHtbU9Q/SRsQx7RmNHi76G7aD+LGJ3SZax+VTOuQKm87sgSgYxEx5II6ZK9yM
QGloR4XeJ/S5Rr66VPBTdqFfZhemfIydegyHOwb7EzixKkzXZj+2l6DF6S0M1d75gQq6PerddPAq
n1p416m3fc8sg0L54laqtLny9TxsMNYjPSdOeyJbDABlWUXKLma7QsGDTzy3qW8AzzyUdGZ1qqyY
BU1XWvjGnsQ7mhKPifXEUiWWNSvxWb3iZR1zEislsmMYP8JlhaN4ipBMj5ihehvNHuxlLUpvP38u
jPJzkWSlcOFLsXL2yxoa9inrTJnZMwtBatLSu6y307Ly6mUN7m1Xn2rVsOa2Nkn/Oh5B5KmJFZ2y
gPsx6JrzbFryFSO5uWlQvDeF0du76vPBkC/PCLLUTMhKCy5GsTxDOs5NxiGw5zoj07U8gsyoJQ4U
GdOgNoXVBY+T2Xg3oi3deAOPIvrI+hQ8ddhYhbcnq9CfDAwqO7E8JyW8mE3++QSt2yR8U23u8ajg
mnZ4TmXtGUv9yBoKUe5Ajafax+BmssV3wiOd8SpfLCCcdIM6PQKj7AJYFoKvKPjcNUzLBoKSrx/z
sqWgI47NRYF9CKZF4G3SZd9hsn2Mo7RbA+yGNRSXYbiFIqXP9EgCp6Qg6Rh7hCMJSFb7lq3PZgyr
/JhLaQ8rGaaQ6cfIXde6kZp8WFFcebbIj87QMFxmqPklbeCcM+wN7+vJiqtVL1Kxs9M++t7NrX2r
S+W9j6UcbzMxZU8GJQ8PMe4ksUlMGRyHBFg90Aqq6yrTzW6AlSvQRrj3r33DkYcejOAVe7qJTDua
0iLh295txajo1MZtdT3IcfEWEW550/34YvotCP/QmNJ1AW4Dxlpo7UMMo49BwhvPOTUce6MlTp3m
/sjwN0QBbgXSH14p49abG+cYAMZ4qPLGv0W99NbY0rg+gI0/toTUshWO4fLoGBkoyAruKEOiMYSv
a7UU+EQ6F1d+y8jeH1UEjjEz36DKy3enqWkdH2Z0Ezak2KyVQjRe+X4SAEqBXfhlCjJvz7yKuxjd
JzvB4CrOqg+NU9SN6gDWTp/ywPA/FUUO7J2f3GUwW79aOryd0Y8eiQVUa93QoIx4SRHVbAlyg0Sh
7tLJLui4BiDGrNPDgtZXw1viAWFr5bBEYNxyGzVFvOefvJkIwVv+Im87VLWPkYryO6IhQ8mj3Mzu
jG6JcTtlIxg0sgvEvOe7twtmP2boR1t0jjmCBj2G9N9N2zA0FjkaIlgTHWPTUhS2C7Oh2y6KxUtD
K/ZpnISkfoLgQ2IFcquYxvDDwXwM7JRYrFrgGlj79BZWDy0GkX+KTPdHpaI3gg6MxDRm8VUUN/UR
ulvI3Q5RflXnXXIPtGXas/KwscYn/JzDdANvWj1bbmu/uJ0lD6Ms2y+KcsgvsTD77wX3+yZCPT+M
w/xaR+az48PbxXHr+UfPba7wON7kdIew6Ye2L4HqbQF2zBW3VSoaYhGwBdcyorvi3Lduewz9gedu
DDY+ckrnMA9tvrWgHHzNDK5TEzv8WStDIr/48TshE3ef+CFNZQFGXwx1tWajrCXNp6n7ISXtvhEd
ITsfVvol66mdaydGuGdZG809mVP7kXyQ0Ous0cP3sWjZLjqFCC91V7PajImTPwAT8HEfokCuciAt
uwA65r5vHI+tcct02Ig9P9sEUe/zWyGGltkIPz1o+5Od0QyYh9Te67GMjwzW8vNCLV0YVO1nLwTj
do4jNzhw00PdB/MWpKbYt/GsOTg5DjnTYjrqKLL3mcfra7MMXip2ghk4/Cm6og1i2nkt9BvHksFr
2mWU2I9ZjsvaKCRc9Im7tp9Mn2MoE3T8hIL8u/gaxfJqDky6PzNyalZsfRtGI7iJOgg8QfsoiHEm
K5vQ570N259e3CybP3IHO7mThs/VULOpljzbZxvjqRp7tQ/NDoZy6ui9uTC0IRCZz7g4AciSAU0B
fEJ6yRowbwlxhrs2iCsbnlXE9V0y8X9EnpgffaYF7bowibYiUF8oB22xmfCeb8u6sa9yjuw4qRP/
yqGO/E6qbPA3Lvioeh8FkfHg8ai+deh4/+EWb7EAJ6KWdmQ7mVMfAt3kHvqsYFtk1FcVeDK88wDS
RQl/vi7pastkxypic8bQwthU3gdw8zLfRcxssRlN4BgU/sdNO8aXQeXzNRvC82BjTTAlvYSvzXw/
4fS03cFadbWd/8i95Looqpp5XmveBV7cfeX64uHlT8ONmoPkXKZ1+wKFUEFiKFEhgEUYkHW4o7/O
nlBPfhU5X2le8774ud+tB1O4R8IR+YknQXrxy9hYh2kOBysuoeEagk1FnhyHPs8Aa1LpJZnr32V5
69/D7Z1eadaZASgk1bGfXcxLue/ipsc1AVGU1DnP00C/EP/2121NYHwZn9CZtRRmlrTxbF04Hcys
Iv1gy7jdk5TAhV0G7g6VPT+4DHJWOBZmfMjxtB0zSx/YQ5oQUJrQdxkSm/Etycz26HZSUzIp3W0B
ffOpz9j5AX/yQPZIalzcPjokZUnasskmZkoxA23+BnvTJbj5x3bIX7pxorZw0ElCDLOihINFdIVT
Z94R3cPCy9B+b1nFU2lM7YnxkNwXpPDWPabZHSBdzvwEeh4jHKrbWbaU0bJmgMCYAMd6WRPQyFYa
CrcYXYfOqqhNFmyMX9jDJXcWf0qzHqKKnxiHChtzXDvPU02CgVEjhMqkdg5pwQoRY5jZiIG5J86L
6lDbhP0HMvgrKywgt+cNqxkGD7VOyGpMsojPJM/iqxrmTR2lND46OGPMY7KkiNL43FdUv9mFdray
SV+GKiR3geNuqcCeTih8eJX76J5z+dqOSsVnW2noEkZcXaULV7BSY7BBJ5i3mfZA+QPQ4myOTf2c
oi7zEcQWTuPGwjpGdW1gi/pHGv9f7s5kx3Ll0K6/opFnvGAXbODZ6bvsu8qcEJmVVcGeDDLYfv1b
PFeyJb0HAQJsw/ZEAlSqe7Mq85ARu1l7GFfegMIcOJOxpvJu1ey74iuXELm+7bzK3svEbXKsDTt6
hPEV3sBlye+5q+gzdaLuaE4eypLwWuc1hYmyXjqa74W3gOFo657x/lPuf3V6qKHbHqA653u3b9Sl
BM1waBMajAA+YNT4UAHccAbcklp7PmHOi+a6dq8N4BB0hJptUqB9xKG5skzprHSanStbnMb2QOYa
bnwZvuObr1MVB4922Yd7QPjpK3ate1RZnl/8pMVz5SPIFAgYLcejBvav78L2f3UVhslBfdA3Q1af
/kmuH9LSjiLXAS8zTe1WuKn3s5E9oTclSkpSAH/kwl2TeKklyE/27gj/xnFtQKrJpi+aWnWzzV0R
byeCdySfFr0STYcMJM3fDox2TEVnVV4VTtPrYJIGIwLhVHnBKRGktle0kUjkXP9c/6tV+/+HQrqW
R2PQRqz+u2/wf9Lk13H8qXXSys8m/vvm/N/95r+251068ogZgm4U2W7TwyP7U5MPzEV4/7uGPL/y
t/Y80VyTQDbGGjwIKu98LS3Qx2VCzv/DR0MitYuKjh3MFtu/ocn74T+rUx6fbhdZ3g4IT/Dv+6cf
SzNKeySyftz5bhXbOzohzXpAnXbWdApmBlJrtOptk1kkPXoZTTwbSMISeB3t0VhpT7u8Fj37Ui6B
fdpJFEK6JcaPkZc/ZUu0XywhfzlW/b23BP8BbYCra5Y6QMsm6ZaqCg2WpSxAP5beACzFIF7Uv/gQ
jV7+Ol87BmjbwRmhDg52bHsAZIdoevDGqmACZn6S3ZVHDwMMKsnK7guxhTnU8GgjD0NJmpbDRASZ
kNJIe3/t55Mx7Et7ULdJNdGP6MhbPkXkPH+QqJJPwPOQmE07/VLXcsW1ZzGhVH7JigggB0sma3TX
fA50r9ehldGZJ1TMO474XJVaqEVMRJT3Y9vmd/VS8SjZt6MYNJ6lqWsuCrG9Thyu1JaZy7W71EQo
vFtfwbU7QqAuslc6SDJ22yiXDB6rE6vsWjmp2KSxrz2U9NpJSa79FGkjnPCyHeiSUF/hOTpy/pb2
icKnsYZY5671UngZK6idXHQQKewxYT22LenZXFsy81KYid05c2gceP5NtxRqkqVaY15bNs21ccNw
TUvFMqSIM6OarWrBGBd1w6WpE15bO0SvNR1OB8GOg7+80cEQnsawrN/jNqJ5UlwbQN6YVGqFkeWt
G7ClP4prW8hZDhxOS7PHuraJCOTRLMqkJnczCRYjVlXUhACOwig5UCnsvutrO4nGyHigpx3u/c6n
vWQvRSb72mnyr/2mfKk66aX0RKzVvURLEQpAc/Upr+0o79qU0n+2ppYClYLG9t6GyE5o/UvDikZ5
/WFBZa1X87WDRVuuebKWYpbrWgZ3xKWulS7FrSJWijJ7GVv2OlyqXSSoxldY1vS9CNYav5DfhdgE
FoUwd6mGwfSquG5P/Hq1VMfaa4tM8oanXHRtlw3Xplm/lM7IyvNKXnpoxlJJk0REX2kO149CV/OR
w+/yuc3Uwb/22dzaI38KDMzk9LQ03iI41l+SD9fyWyPys7y9EU3Ma1fOXWpzPYm+e4Yl6NIxIk6v
TqrJ/AHQ1GGFkKrNPrx28IJrH89ZqnmBo0y54io4WGTHA3mYETPQrYmj5/b8PkgoFBHCazE4Pyti
Dwmiatp8CZ9L6Npd6oEjOIqN6jiVUP4dnkcU0Eu8FAoz4donAIOkXgS39bUEnrVV09i+oefQR5St
dreopNWK3Hd1AtVLc9FZSozlVJe7bAIWChaYbDZdR77umes49cd+GClCLpXIjnobNTI/eg2XwiRX
Pnx9Lwu9tWEhg66ma7tyWIqW8bVzCdjQtDhM0V1cArcuBxkuXb+IzMYvsx/HZzOjPr5V2qHNabgU
Ow0+KNZO2Q59z2ypfhbXFqg0lkYoWWU+2nMh1H0N35HO6LU/WsyMFVlsFa80xQ9y8UvVVF1bp9NS
QNXsN/1oTT9ag3/+zq491XKprAK3ILQQZjQvyNnTaZ1D9WJqO72ZA8Q5YnNj/+YuNVhGAOJ3q2c1
bFUuNdnu2piFikh7tvALk1TwUqptGec9yEL/NNWCgSWKXZ14ldDDlWmuvl1D+lyOmg6eEdek4YZx
O5YQifxN9I+tlGEZo13kGZoUVbDiz+n5hy7MY2KDqbQIp5hh+2tyYQOvh5Ej/0xChgBLcWiuRWKP
7cKCvykTIBcU300x5Jne263DdbkqtL1zE0+bh2IuQ1rD0kFqsnJP0KEk9UWIDtWDMzgQq9/jMAUn
EzeTenrbwnaZRx5OIZsIUMqXPWngB5t8UOodX5oKdR0GwYMGKPE6+SyPrTzOuMyVVPYLBRRFUDQN
GC7KOWwC6jW8VVBL567WQXnnkQp6URMjkzw2vFqt/RbG3m4Ca1ls2qS/mXwNlNQdXfkaWp1ZoIf6
1m9TkfM48xXGzsbrxVK5C6bgXY9o7ryg7PaGz60oDpFrCx4MaP3PPJuaC7tu6S1cMHvnBECUx4iR
NrJa4FxWOSgqlDFwwztDVckFydt/m1JzIMc9FncZa2prqtsoQUOV3DOUCNlztiyI6Mw7AhRRr500
s5caLPfGmrr3mrDTs6579x5Alb3pGOw5KFGYz8qsjF/Y1GPEbdtGmnGQBFMT6W0NrTh6Lkzp3/tV
8lxVpnEfVVO0yRiMVmxLpNk9mUxrLV2UwjWlVogmvO/meJuYBNxXmr+2eD2huSyCUTAuPwm5U38m
EOR26KtSsEuAi9TSOTrE9KBQRzk69Pkw/8xjK9lA8U7h73FpumPesL0UNcRWFJ3kI9HNe1HLeT92
5H2jhIqS7xXJZ9RNLrjFIXtEpy/BQQqWNfq43CljCEB/BiD2y4Eqy4T8Xq7ttrWbGx8KygdkwTlf
QT8agy1BIItF1cZ0j7msebiARXSPXZzoZzXjdJdGE9+E7JVvdTv5fOYk1/asyow113xn7/IAWrNZ
3j8LXi0PLiRKYs/DkFFyyQJvy9hV+zlb6QDbz2H1kycCNJ4qioG59vaT6cJctSCh9CsWf/2LyVXj
yRFMn8HZyKz90Do2PsQY3E4zybgznA4WNMhA5zcet63Pegqj927KskftW+HvBhKLz1uZo8S6imuk
Xwvm5cD/gjAMNqgr8/tkdLm3CIdvMdIvhZim1eQktFtN5A5EuGKPvL7PakgtjAb6KmFyw3I+vZ5D
M7wHGb8Cxomb3RAGlXE7igYAkcQIaCneo7LGPpHZlCWp4RhGflsd9JR6b73BJ7JcTDVcRJC2WWHd
DXZso5aIVrMYavB48BgT2yPm6He4+9VDQzuCbR/ZJadOmersxRmfVXLUKesuznRpPMVl3wD9+sAB
dlArFfbxj5joqmQnr9fjys1i59lMR/UGhq++D9s02470km+DzpM9kyWuO26EWoQY6DRInVPhf1eu
u8jZ1NZvDcAyp3CZGmsYCIHAMGhaOVR/fs5zoK2lLDB96lhD6iUobGxpefRfQNPSYBc6TIPAKQwZ
RpuHhz7TVvfnn5JAKPBhZg/ew95/dlLK/sM8iDc+nI4Lfbus74Oh8FexKl5Elj/mcZFsaAu3lxCI
A5/ZCHJS5vZ0p5iuxYydaoabHJtvfBR54Rv1ON4gUU1Oc01UtUhQCQLu9V6kLqFVLentynvsC6++
4fKSX1o55T+II4sUG6UNfmbTHO/nDJ9+jWEmbslTQ1Rqcz1+BMlkTqdqdHoqEKHVk1IubSsnIIkL
p8kFEsyRzT4qTYTlkpwIZb/aryuYuEF4C15nPli8uX4ZVuv9kjJqum2fZmw/djPO0sYr+F6vBHwv
e2/T53/p4S7tINOnP/DZQFCyn+Ts+qkKebfFPXCfMH70aewxutrN93Pi6F/OgnyYGgaEVvzFk/IY
ZITgN7VfYxW0Nz7jI89oRGeLrJzHOG/vfS7AnXGLmQBVySRmT5PDm7pVP9vOXZD5w8Zk4hG4JeIa
3+dc4BOapZsRI+lS4AO9anloQBSHJ9HZ4ocpLZoQndJ4mPgNw0phU/10DaUPQ9UkNxXE84ekGNRb
A9Pyu1UiPORlZr32gAWRw6dRHlkUwBq34HMyEVxqeTRCdzaOGUmSA4T3Eaavg+gmJibsYy7JKM6N
7sj5OCz4ZR7ZLcaU2vTClSA5eA3GcD2yxLZidzjcWgiMj2LqAZvFXYm65dTFrECkixl2OSxddmiq
lsrfggjqR85ytA+s6p4d85luIR3/1eR06V6YbXoIRAnSfwCF+yj5yTyQ9S+/aJAWH8stGxUXoCvY
NQDNT2bXdPc4c81bNqrpyNAfnQLFC38tnGhe11Yr+JUeI3Rg4vbcmqzaVKFkCTNx4ooMfV6ln8AH
mvhg60Te2VXBHyHLat/l85CmDx0zyI12PIePC1p4k6f3Bl01XKm8A0s1C3GG1WT11D0M8zkVUfjI
usO8dYMZ7COGNnMRqcLPY4HGaU9twuAUpBMX3I5svfrQamWCoiwTg6tpnC4v5aQQh0a3fGvAUpgF
QNleAJzTvJE+k8yDQF0mEUbnyFo7VE2gYO4m1ppUrC1YlJkHjSSatR49TZBlLEIB+diOzPRRW2Ld
rYGX/F0EFihkkEOsloN8WVa+Y5ByjFskx5AI8a9RZuxcNRlPEoMAwINC2nopxHKn0PTzNmx1Tchz
gQUHsrOcS+FpZkjNvjz0md8ey26KFY2uYnzFhbTNfcFs9NGgRfWBaJ9QcfFm+EvYM/bRaZpZvvmg
BDgA+gMG4/8Wmer/u8Y5KeZ/DX88faKJ/OW/fRb1f//L+bPlmd/8g5715+//a77U+8Nf2ueYdZbr
CiKcf9OyfOcPZyGXBgTO+S8vQEb6W75U/GEBU7ACnywp3fClnP5XLcux/7B9ktbkUl1EBRStf0fL
cr1/jKMD4gCjSOD+n9Phpd1JqyMRyUxzAx/UIE4GksdlBg1S9G3tZl61XeZNuRwYcF1XXetmW9NQ
6jyNbGVRh1K7KeaVxE093pgTU3k5yOFDvsytGjoibFUb0mKwDXrKBteTHbbIaVeq0tOxAM8COiie
3iCct3ufxMW2VeZyP2nUHcsk2ZtsIpKtPmtVxWL+DV2enUPJDE85Dzhqi0mIMtacOMYAEGNh8pOW
u3f2KcElm+jqMbaL3RgsxmO2WJA9ezmr6upLDotFWV3dSp9OwGXupJGyCY6dKa/OJhE7+1kvdqee
VDKdleqpozeBfamR8HYReI79hFfqphAgvcDDPzVKjZ+c2dnAbCcLlNVitQKn72n4Yr+qtIdr0pbz
u5HRnCMM4xysxbDN/Hh67jJaEedWthG02z8t3q4wQZt7BYMjtLZXsb08CqkvnUXq119uNnNKRfbZ
BNKwgD8thvJiLVdpmb0R2qnfZMLYt7lY0D7+tr82RVyeksWqnonXaDYXkuYnCLfo5HSWZ+/xdDOT
224rjoPRc4FibMd4NozCH29m1yf5O3d5+Jt0Ia3NccaZSXKjOYMeqj+NOsmgpLt9uDYKrbmH5OYm
mlP+KUkdUz7snEZvW6KGh5K80TaeFzRIzuod/DFzQ7UAsAvbVvYjmcritxr4Lmzsxqlf6RbgyQQh
DcaX1hkCAGe9rYhVeS1btLlZIAG5WSDvCs93jmGh4nth45NadcNycFVXA0VlSIjTGrFkuo9gGKDp
swXh8o+07xu+xM+OyjGJOY691L9ZQ2NKEGbpcmbaRbPPrZLISnOMXWMC6mNFv6fa42tqi1DkGMHA
/dcWPyrxNqJT+eh7bfSJuZAFBC8N/mO0bEJqiUg3cTiFuMqKHago0e3GJOH1UNFUI2sT1gxPdDM4
fNuek8fEzeVvoRiuGKOqJs+csN8qKosYSN5wvCCJMrcOU+95B+U8MMxvglDT58xd9MXhXys2lWE5
v01CLnykWaxhgmQuWlYSnYC7hpO0NR2eHsAx4c4ycDY59hvF6tyuqs3YM98cCkaJd7bhB+59nMxM
m+AySeYnU/haBE87Oqk5HuiTk/jZgOZtgJDmAlHa29RSwTIZ2Zm/hknx+qL7CcGomCX7eLKkrGaY
kThZVO1atIcwfMzH8ScvQfc4WZX46ZZzfqAiqB9HKQh7dvCNZ3bT7/lLISJkBfX4Ohqp/MQaYvnQ
gxNfT5EmpMUBB5AY3Vs/C20C1m3Bn3WOUebx8vg+AV7UZzxZbCIxNUnPXF3Y1duBYOGBrDt5SyTQ
jd3X4S/4jBb0I23oV4zh+CuZ0+FLIvvvPBVNt9BLh/ukbI2TnkRxT3OeS7hEmB1WrjW5H0YzOURS
fIddv2I2qwsNasBZRcUgYZTC8I9N875NLawAN/zISohSGL3eZe4xzYOO/cCkD/ILcxniA7QZUxnl
Egryof1DHopIKdY+z54krrN+bWVWQlUU6+RYBE51Khwu/JsA+yvZaN+OLmnqj4fJY7g4bgj9MR0T
RBcBko+8tWHCR1SN39Zb/nbMT8LT4YvngHY02zZ8BEDyMJXUZeU4cs5wg3InDPZXV6Po6mdP9OG5
qHN0RtdNflZ27J463FUiKp25d5aIac/Wwla0SUCOtMoOdmKITS7iYSsUQE8+6s22Wp7p5ZSxZ6Vd
gEXMwb5zyaKdm8SMvYjBQdIGjnhr8Ny7KehX3YXARgmeRf2Goaz2UfCcv1eyZwKcfg/sqi5Te4Dk
7r3XudkzeMX4l+XjEa+mJOu3Hc7OeWaG4ICZlBwYQ8XbcKVxqsNYHNzBLityDRQLNvVQpDdSFEO2
tZwBN8NgrjfNiuSxwIg9DqN+YHeFTVeelhz9wzS033lvo7g3GeETISbvYTZJvMMfgEygQrM4BagX
JRhwPZIVquLfaZrJR0IE0bNdj/AxyF6HXxJHCSGwYfcRrO7nwJjsG156AxxrDtZhMhUH19UzgOXS
MnalB19mlfSD/1CMjn/Jm9ljcXgeLn1juNBMYp8kZGpFJ5qQFYBgiSRgA9aVgC0BEfdswwhLa8Cz
af4ofEgiCdQZxtbquPlFliuJb23OxJ9G4OBh6Gw2AfRmlVin2D+XOEnlWk4RS+Rm4F7moOjf7Vam
O1y+jjNrIfZ9WFTLMz6IawIKlN/h0ZQ0EZz6dobuhEkQKvuX01flLendcZu13C05KKPJqS5of0Yz
ow7WXNq7flDGaQ7m7ldBAG9ZSe2fGslraOW7oN4cEngnSbryE/I7II0ytOWdzOANrsG9JTslKAnL
xnOOXYfmAAnO787+YFnnviD0Hhpmt6+dNNkzVsSTzuD3HCGokhtX0XifBrG3Z5AuPbVeoPjb1Ool
Gkro1LxOGFabUODHqn0cREMXIIj85zYN2bXvB2JZDFVvAvJDZzZ0b2mnlMe2Nxhymlvu2n7q+ZeQ
9+rX/9lj/GJr/w9y1P8deHZc3OBfWs03n9/x9PmX++bz+1f7j2bzn7/1r0az/QcgdNfzcY5NMEkB
Tu9fy1/uAo4ycaGRJhEfOTb/zWf2/uDH0QLCSj+BXFH4P31m2/qDgoyNPc1ZQyzc93/nbA5Yin/U
33VFr/F/z+PsZQs+viYg2H+sQSQWyaE5m9vdUjdxN2Yj4z1mc3wHY8Z8jYW23gJwA8R0OKZcEmdi
UJF6hD4GQ0IGz7UTZjHIypGlntxvhvAo/pY6JGdTSdu7UJPo4lcpq2jiBlAFr2w929B4bXszMkOK
P5U/KtcZX3zBB13HXX+H/vY6p5zjVnU5PEMbYJ93LsvvTvjOXWMW6cHmHHHyEKOPjSzQGNj6aHEt
BT0CdKuCqdjYmIGNTnofky038UDK+Qx3eTDXTRdMD2EX9dMqTRgzONmNeixHVqQekZ/Qx714Lp5q
HgpgEyGzPxVWVYSn2R2YZQ1JpuApuHbcH22Z93ilfVR/Q/vtEElUGeUrB1FdX7qxDMNTH9msV0yE
fZuHacrqb7dxq4Rd8DHrX1mKD78rfKYv1gQr62AzjUZFxGecSKaD4e2SMGzgHwC4KO5E4JfDaTZE
/xu+ha5ux7hQH7ndWc+VZ8OIbKLgwXYnagppemQ9z+E9Y8S1ua/ywPviHOL2R8erQaqrqFEIprEH
xD0ewVR5PZvX8E1dBoQtJFTAC+Yz1k/y3uWu/O6UAWQB0Oht4UPT2MLI1tTRBumuRVEPZ9+y9b6E
iYcGJRoY4D01NmRedByWE3voxEm9CPVcWqSl5cXJjSL7mPnheASMYDQrbZbmySDzxCE6J+Q1S4gd
dTTBXmFZL1nXHedvChAxY0HsyAuXXd59Wg7+CZiOvKBu/+wKflrGUmVUJwr8CkrW6VPQUvCiNZet
zJw/dxdEHlST2YIV6Y7Vp7nYIhAUnN8yL4I3Sln8kFsm4bKPuPa9xc/o1ygfXyzPcmeRvXFIRyE3
vAuTvUljnTREESZnTxePy7MckFITX3gZiwdQteF70+QJK5lwZLb5IrEq7Qc/m4KUAFFKI//RN2PH
lQ7XCGclkaNcEwhBve2AfWXXYiIzAjF4jVNbAs7yA1o0KFvowsBZk01alo/Ea80tU1mu2ruLrlwv
05Ku2783i+Zs1j0/75zOBdN0zPIEu4X46BzMqJg/Ba2l+K0zqzhZJ8AdEAHh1NBb4yo+HE2uy5RZ
Oqa7GG4wKXhbdoCwRqw2/tEOCRZ3YUld7SrH78eLuir3cbak5pg3cOIdd3u0/tgYLAr9ieWzutZ4
7w4DX4SoA+kbEb5v576x0q6MW3E1GBKRxB1JFyrg3ANaNg+J/7OoPEzjZG7Sq41BF1MwjOzYshxv
XeXL7oaWBCUBS6Vm8ZSE/L8eYzwijt1+ZA1vmp8usJk+05M78G/0AJOBSilGdIglVC+Oj168H8A3
zIqir6unrK2mYJsYmokf+ET1pScgzgdb1ATWJ5aNXhu+UHsNfi37lQ86BGcbRU2NkaI4f2Pr5HSA
zLlkAyxgfgGTy+IMWcw5kLNUrcnZDYztpnXWHvnJ5F7PwjguTti4D02flLdlKcS3Z4ylfUDzCbFD
XNF8OWHesMIbZ2oTwXPrV3TdWZwMR4wWJJwX5XIH4LxkuTsuWvIgzFrJdRyQPPRFooD7WqGwN5Gg
QwpOfI6ZKJi0367ZiFTYRy1Lv1ZSc77CRQE7m48ZoUjyFMN7z/Xtps9E+VYxLVesBjFMt91gZyf4
NCGuZ12PW55DQHHHNhwOnqWHmx763T3XxBz4cxqHu5Q1zgcxUmxzcREeuRKCqB604FSXlbI6RsoO
Sa6QCTlaakrOWoOpFkajnmnwOG+wVIadhQy+wlT2jh1cCk2/VgQF+qlJNUH2+dox7DFdwEFy3kpO
b3tz6sILyD5jTQ6X9TMi8+gcsF7vDF11nyYHy49ksFw4qcSFPDKWO3pH0SNvyyTYI6y2z5WVjl8K
y+zbDq3heWiKYYco/BTyWCLSr/yw3cZ99ZR27phiWMcAwim/mntsX3mg5gJhu+05nJLOTNaCyUln
LdIQoBkT9nOD0+K9S/K+atMRtzoD9At+hwRmV2VCPgiDwjykWqOv+4UhNxWhqeFgcgvdMkURbFh1
qA5F0Vd0odLhVlA0hfkHqDHdTRZ/YI098auuGHbqogWTa5e0Oy5T4cz1pm3m6kXlQ46TNILmIbIJ
Nr52u/6cZbHUsLcCl80hUycfgu28h76bluEHppbZTbMzpKPgJ6/mhtCRbN/TXnA1hv1Sn7hiyHNh
UTxZKS52j8Jho7VIsKLxHfvwjq9Ff1B7MF+xLTySkpROH22WWo8JspLeRB6kRz/95QV2/kLEMt0O
UZHoW7575bvJ/MhmFJrCVqPFvrJdcu1V/d1zWb2P6cbdcnJhxzEsix+TxYiYCo0ETELlEkq1umab
hVXP580fnY1lJt4DhMlloqULpwerY0b3iSaXcbLdqvkAy8sPmHQ7Rk2iitG3DWHcHhir1+ovT/Xu
RxvU/cNIlcM5In5lPyrMI3k3uRranJm65Vc1tPpn5OTAKVuCXsapbZe43sSKZLpjx8N/AqhF2M0R
uX+qKRXGq4gFA26RMZdgKO+Sh5nJ5HO/aaqEVoqt+MUs0uLBTck8iwE++opvroVg0ZaaclmAEcbv
LgjF476SBhu5aeA9/BZVSL4LNBFvMCfufotB90dKTfVl8Br/JIykfsiqCl+ihUoSbwQzby85nYs9
7mTLynRk7k0vorbSUOtYMROZv6UWqfB16LW8bCb+cpjIZQSKQm3MLy4p/fDQpEWb7mqIxZ8KIrK7
VaMzfTL6HP3U7cjMbNv29IzYeFUxms4UZ/cWfuSZbzzdEZvfXq5VQRV4Vfhteacy9uk4mMaAo+nk
gyViAnzDkMHMDytFhL0dptVHmLHqgtVUDjtG3xOLTg+NcY3g9c7aGdseydSUn9mES+RGUfTpIFVv
ezxK+N+uEZ1lpSzBYKzIAPyAOeN6Ny9TxGb1pgOpfiK4KFbeKvTpJBa9cWWhP8ZMllyati6fq5Ci
JD5zJW6hgfQJRfAE8wVQgbO1XVnd89SfNk3jQ6jjsFPVK9OM5Etk5ctzB5fMbe2QcHsRMhHRRBya
NhPKa7FmGEdhzaa8agI4ZHdQyQQ+Ma0CorEVWMo4bSvuill2h7PauCt/gDvNChmBWKQwpFbdWB2d
Wto+L3LW4TMyZUZ2k3/YbTLFJnuM4Eo2oz+6P0y6+PFTRhTjXrkxk4A8YIJvzdlS03E3p2jX8ma+
LwkWnWKmwciBFDo4EDQx4GtBYsdL4++MKBv1faE1bXRhNf4DUpfhE8cb7CePt86m9mT3GjOR/eRM
dnAPHoJzWyxU+5DbWvQ7M6R6wZEEzhkn+94DqsZo+VPvhcld2s8ehzxcrzvhqOxnIUfnUbFjx5vI
qbBykYO8reiF8c0TL93xfvZ29hSkv/yJcQWOQuIlHMPK2tG+9h5NgBLURlIIjGHsJGsIF8zJD5MO
T7FX+e8ZGsV9YTbGFxNE6ZM5xU1ytltdnMt+8n8DCk7qCz3gKqLeKIpvFCr9Og/jdCDy05/9Gjjr
xvVjM8V9JWK38+KG5fOk5Cl0UKrwDpNKjRcPn77f5pAM9qYW+lzQI1j7UwLhU4mapMeEv7pmiTQ/
mRnrmms376e3OYj0ls0hIgr+5CufnYRk3AHUq5ktYSl+Y8ik2Q6lTM4w68yjVXQ/RlMT4pFVspkZ
AuULsdVHVEH05tVEizZ2gmNC7Zt3l3SZT/f1VtDVQpufSPiZPLxWjBO92hlcWbexUSQ1LDa7DX9X
vntoPac5jjIifBfofOfCdtwHlHUJ9kzRr8io2zuA9jz/Jspqq2bkdkg7fU+KLN4PHBHcjT32cIJJ
MdyPy1ikSut2Z01GebBaqj5K+t1PNjHrB0CGUcAeA0ejfPSrZ5d3384LhvYw5KH84DjTrisSBEnJ
o7nt+EKn2Y94g1PS84noULOmRV6HcOxH2bWXzmZJYwEhbIaECdDI00eLZjk0QdryW6B5+jtTJeHe
dMiDI5PPwUeqbFhXpfL0Cf6CAad1as6NoufhVhk4P2rsn3Ogvufa4GxF53Z5nXIbq+OSIvrUNKfJ
sGe0Hyl3fRxzq00mx7wJE0EIGNbQWpUsttNPsHcJKewHXZhTsFbjiEdC8OdiYoQcJwMu7SYQjXkH
MUmuKaZ7F6eKnvmxf/CYsOjH7hXZDq3bx0HAMZ5RdzN6CNYQrvh2Llvxkh1oNafxTWzoMlunbB2+
Vs4Yv5kS9CW3T+Zmw1K9eKYeP5M6G++92WYH2fR0ejPNxAk9e3CPVSRCZ2+OLTUHgjnzO37zXVa3
zV1WLF2cdkHOOg0nwA7bwcydDp16GbTKhPiBOtd/kXO/KeJcnds8LTaKZPbMI8aRX3YYmSiY44iU
PVY7iAnBDQe9+dxXYXsLiqB7KmL+3U6gxEZyVd6pXNL3dBvqJMVc2LcVnfJn7XM2n9qMVmGXG5oZ
lkCctGUzbQSndYU43n4xSyZ3eeiPjJFHw1MkBUDXQJs7QiS83XBQd44BJDMARUuevJYSIm/TA27l
NMJgJ4taWziddDurziq2iugaBbqsK+mA2z4V6sFS8ZqqOY1obTASrQsOT5vY6PrfPvOMPo3fEcXZ
AoPKzUTb8VrzNvlubIOyfZYX4yGdk/JjlA3yREfGNcJfSmt5X6S1+RolfcXxOyvuq9SxP+zY8O7s
NLe+23SBmWZuTpal5vtw7Ljd7DxQBQy3z2PymhHXEHTTILA81TUJ6MMoVbCtJTM42yBX84+e1Bll
VcWCKcFc7gujU94DYLa9wyKQfEphWNs+Y0CUkvwILNtxaWezoKyNJ6tdRieG3l3zfqmfGO3Snzb9
eOYprOJgi+SjSav47LStLrf54tCYAzoL97rc2nhRJZ6VP+kDhqdj38gRCvfaKRvWRezWnv09qBbH
2Dm4OPTZh6IMXlkxJu5Q89Z0Vm2UL0dGxtSGmqlvwIarjO2DeYWPPBMmIv72uzbH7jaglPdmjuyQ
ruLJiUgLaz/9kZRJc0LBKekAs1+WIGmN+cnwwTE/D5Gen0pt9UAORsqaJONHVhHmeELxHgxmQVEl
9trx3/ESi3CruL7hY5gkuiZyzLAjLDHfcOlsPgCAzoz5DomgaECRkKuZ8YyxElwMbyZaG6YEXbuq
/+AjlzS3PPI996y6Ir0D8O7+zOlgv6HM4L7zPuIkXYt9yUrJrQhryE6NBB6RhNK5gDeydlYY59+p
URvRQVHcX3DVTUbLbXZGtJ2wADZsNQgGGHE22AivHsBXNAl8hzSDysm1kFzqNslVi5s61pq0Zlsy
pMiu2CDWTlvhP2Pgi2KF4crHvWWihR4qIz3OoeUmloIyAGm47/3e3DSZ0P7aberuhxOp5ajcVgT9
kjbPnzPkQEFpJO/uwAL/B3dntiS3kWbpVymbe8gcDsABXEybdQRizT2ZzIU3sEySiX3f8fT9IaiS
kikWaWprK5uem1okUbEBcPfzn/OdlL+aERpcU0yMx4t1OlHHysrMZ2zrJBw7am/XyTAxDtBYoibb
0sqVCaLkOLileklgBzyoTHceZxJeIwO2ULsuHHxP64bcGK3gRjNtnallCxulXX1gJ55u+7lMaNeb
OjoDM2xaIEnjlummFTrBJ7Oayh2wQ3VJ3IRAoMyZImxbUhDkFhzrs0L/0DyMg8kZjjxMjhF7nse4
YRSz0xWIUpy+xnVmCWOfZm1BU1drpLe5RiQAg0NVr8Oas8daUp+V8pOo/FyPmeCsmirjJsnImpSb
PisArfgyY+6yGqjwKA+xW/vdpsv0eJf0NmMJWODjU684YPFJnOa+m2w6MFU34toebEp+1jJpsX7b
7oSARiDJf+4w7945xBj6jdk6in1CEhhnqukxH5HCj59l083oFtGo6dsp0AW29Z4w8NGlMu4hzjsO
XVyeyvHoKLQtkg5iDB4jRtW7LJfqiCBiR5QMGPkOtTb9QtG2xIs0ubjtMI+TnW7sWl1F2Nnv4X7H
D9Ug+mTV0T/Dx2R+Ayhbs/EpRVifiAZzqTA99XFI4m2iUL3rA/cOsw2n+VHy+JmUHr/400D7eydl
Jc95TkTYGIVOYqpJrEw/OCNphF0AcNygXg3noRfFo/25trr6Y6okpNoEW1i2SiSS3ipq7WkdhArt
kbOAlmwS/H+4NgrdCJ4x19lnoyQ/w20XO5fE+Bnb2Tw/eWDTepmCjNUMOOsMCoVn5cze1mmuI9iA
yKgEmPee8u4sHQdE2mR8UnROezN9jU/cSbU8rwWDpaAMmu68FLIHcq3ZhutpRhN8gYUeh9tRdjGb
PT+nYpxliefKmOOe+xgbvXmc6cdj5Na1lVoPLJPUaCp32JmKybEmG6KLfSmmc0odmSVxitTosq7H
KtjMKabNjWSGfyPhE5Q7h51RzZHJbbxKcM8TPDb9i2HEA7QmPDNvQNTjdx+SDPmLsEGLIZlnZ0/h
54gDdBDd+TRYebVeEA0zXr0SHS2qBWISdlyeA3PoOpfNDHIDO32ScQRTU44pJ2Y4TlFMrXYFkG62
p0OAWETKLCL9NDb+RcMgFlx4pr/S9+Tc1o6tbzFOKLUyNZixniCPj106TMGXaSlBpk3DYzOAYF5p
NwFHDeceKvwEGaYnyu3gimFx0Xtty7HejF5N2P+fsBowXI8jGeE6cCjPY+NKUmWwo9skdaY9wL+w
3y6Omfsy6sqzeeqD+zjDtbrKnTK+Tqv0sdQMf1NEtp0cYhYRemdhmARVy/iZIor8mYGO9qWIyuku
xmqjeTiLBFtTHrvT2VJIUROwSbNLzpCjs4dzg5ad9O5nNnP1i4id7ONMQUC0xqzUbDishUe8HK4D
V275RAz/jZWhlOShmppfda0atqgWxnZEUDhD0jGZyVrddSMmYgVaVhhMce1h3htcuLdtRfAJVAJ3
QIxrgGRgID/UVcMzu8VHfZcQxh3PwqqjSRx9JdjOg92H60xrUKL0slHz1jc7GjQdLt+Y26g30C0J
sceXiA00uM2z3s/nJXhMtYeibjCeCVvHXEUk1w/tFH4IKxrXUBKnZ+FHG0MzwckJnJdONafDZwYy
FSeBSj6yJxst1rY4VB9gpiBaFInD7LiGCF1jkLtjLxoslZEhkQnBKEpj21ZVD4oKhFdqQtiLGjU6
AMWTIvsqG5yXa8eIUy9XI2I/faG4KeVIVWXGg54dZa2y3b939Pp28vof/4viwFIZOqPUf43nvO6+
dJ/Dr3U9vTVO/v7H/pjNLhw0E4eAhR0QK88fs1nAnHgfbcsCsSm//Z3fh7M6bktTksllDqFczNa4
Lf8ZAha/LZNcjjQG+3auu79lnFwAdH8ib5nMKpLJpiK84y57P4ey8LeAOqtkDteVXUXvoPXkw2hp
HAJ3IF9ZEwbUxOQEbHDt8zI3Pr/5pn4Ax3tPBH3/0u/YsjLW7SQRDdUwFOgQSWRDF8bzvkz8l6Fi
D/XzV5PLJ3n7SW0pbN0giW0JqpKkfBd2jv0+JrAMMoV0gImvwieqhgPRGx2ZbKcGGAe9ITt+6WqT
pp2zce3eXiOxW16vukfsHJzq5uUJmlwz0biguGVtdKmF+O0/VJUv+araaBUV8ZluAJf4+bvXf/D2
XVd3lsA21woX1DuSoKzZkyimnrTutMXeNgzCCJxEGbX25tKFOFMnRMmcR4h3vHa7OPpg+taVHJcF
HdIkC271mMwokghlT5qZn4eGSSCCRKjNEo6Ac2ipM1yNA/+szAZsWotjJRiAsRYha6QzVYegkuJO
ywVmFD+t90xSPRYVTnE3UyHWMWCa3gpvTSveB9PwwsZmlQzhhl0bybS+XQdRcoOF87ZMpw9m9WVa
7KBM6j6NdDXs7AkTZWtk9kVRu+xl9DI5wMLvDmAZQaM2C43N4cOMEDfMWjd2oP2CO5WIG7as4EBd
XtnAZ38uOaQ9x1lr7wo3pik4bCm3g8C6MtFRbDCVbu2ZehfRAkJ80ST2R5tSQjOdTYUqmE/3aOJO
PXcc6s9MN26uh54IAp5D9nhN4XwyhLTxx0TFlYNJEP7C0hlPNzbaj+9urCGUL8QV+69l14pjr5+R
SBouBzGziRBO02xjIym2lpLzMad3Ay2DOGCfk9LL7fJLFMVfoqBQB4JQREYkSyJsxRutKQkIT+HR
T9InnEfHCmsbqS4aB/lprGaq0an4A2VMOHrI/Nij0626gEy+GbvijoBA/gu+ueQB9N3tRHDeXJ4e
JpckaPrFWPL2wUGJjl6xDaDlK01zJuKQwEggVS1jZVbbknZhy7iLIjmez2GnfQp9a2llX3bHflQV
tF0bH+HtrOelZnvoOufrmDvTByMR6a6B/LpWbiNumREmD8A7OgphffF6uqf+p+kV/9/FAqQtTR6O
/3pRu32On5s2fM6/W9O+/anfwwDOYt63cQ4ZBguRzY//zW6k3N9MWBcA74UOR8dZoKC/L2mG+E3H
GsR1S9+8YLnjb/2+pEnjNy4mcBiWYZAYEZb1d/xGzoLV+O7aZHqPzRxrlUtawab25vtrsxDlqJE0
bLYiI/m30/xlTy5Ti/15A2vswAXKrp1a5Ebt3NNuvuJ+zD26S9jM1u5S/iUhF0sqhLaDMRrnCs2N
1NTphGAPNd3E8+nkEHeZ7MjQjQtbiJNFUtlDu5sAHg3Qg0sGxGhTw7pbDiZdPdQ11pFcHUKXG3rT
dRnJKjXFydMcjePg6QuBYoPTAOwPQ2SmXCL3g/PR6dWLQXx8E9iclEZy9Ndzos8XFZ1kmwzIxNol
nLkpqy657SWiSy+F9jydzlwi9dVLlrT5I0mJoF6zl+ZslllEwLeByZGtFzblbYD8cVedjnPlgGK7
s/ts/NAsR73odOoTywFwmkrfK+dpfCLPyvlwyEXJNKepBfrE6QR5Ok3inQmFl55Omep04uw5Dfur
vmbjDbrfKK+yWic6Numd+1SeTq04KHjqg+TgNDuw66B/xgSEi2plPRGLZF/dDqFOI7CbL9NNYwEw
n87Jmr2cmR2oeCwTBOT1A+7yeo0C2D10XUvGXbZtQ347SRd9eKyzbRXTmGq0HbXepCqu0+WkHur6
+NHtMDQs53yO8gNQjGNJkLBAihpGPMVDec8qgHR0UgAoJ7Th5uELp9t87qz78CQXMOUKvGp2o0Xa
NotbXQVxxbi0Ge/7oU2v87IKb5YcXb31UZH2+EKanbHoE/E3rQJJkpap6CRiOIue0ZG6rikjGnRt
DdwDyYMK4ok6GxMlhHkVoggsQgQSnUZeqixqUOLRxGlxleELvMMehVrpO2oqV7pJFG0NCI50bHvS
YdyTJHNSZ7p0GJ/YIznnyHJIzNFJyelPqg6Of6jaDV4ZdxnI5sYOB/gi/QyxUW7gMS26aaH1WITc
7rzJTHnTNYNDy1lDf3MS8qpa3tCk6PbZfM1gHqkJlZdwu9sY+2hRokAYtWck9SAzpJziyIzoTv5E
vic5s09Sll7U6nPZCtvTT1JX3RntMfKhKUKJQhytrRwGSl6oJ5fmOYADeqRzBOs05rZlv3TcISmi
PDNpA2o1tvG2qPECiQItYj3MGlpcMbTBrTlL0pgQqd1HMUTVQyxS50X1jom5tocIKhaBL16kPuhm
D10fYekqjAEqfKubz9hglLii16lQG+AV6IbuIiFWxH0mL8Gpe6x7NFFY5ZgUt8YiPVpF2LwAb3Xw
w5y0yfqkU8pk7ox9Mkn0y4ARCPlb0SNOUQFth2fkSNA7ObujfYYcEnqCtWBX17jZF330pJViihuY
k4ym7mGGRE11HXg8gFScZcsn2olTqXBRX+lQd58LU4ueqWFBmZWLSDstcm28CLc5d/i8smnU+8wc
oriEAmTtRiHm+9DtoFhBK6RvcRGEnZM2PJ504mCRjLU5B2WWm4tZqXDPHSyAH7millgwliZ6rVCe
WUxodemmFJSsgzJNVbhpwxUL5A4rd86myu4/x7U57shZVJgOkLjpFETt7mJIHWfZSQUPKCb8wMPG
yu4S1/GfnVhzLuVJPFd2VR+boEwemXQhrhNlRWgXaaYRkEZ9R7MQr8B9keSdGMDRqqIdE4Qewr0Q
svjSGhVifnIS9jHcJM69eRL84Tcg/nc9Gf6deRoKDCYBVgYPy7CgXuYG9jJBcE7DBH2ZK2TLhME8
DRua09yBAURA397eWGYSrSy753SZU3TLxEIuswtrtLQPOOQZaCAp2P0iNzLowL8oN90098+WOxpq
Hy0zETfRGI/0SD0HPW+ZmSzTkza1O7hDxeBsdOAM+b72WzOCEpCNIO6pDLivUEPEqguddEtnrHFI
RsmwJjHnkqqAQehfYP7ZV3gfjE+a1mfXknQL8R8mfCkjowjsDa2ivPnAUjhMhvxTvEyL8lSNwD2X
GRIqdQgNgkTDBiSDS6wBRoN9FyyzJ+RKmTEfx2pqfRtONTiDab8KujXgHOAg0egzygoKO8OOtAy4
rJ7irI01+9fdaQBmRz7DMKe1eWrBTlAPzTItG4zE3+PjEVuZuUs5LFM14mnjmaTEcB90MG6x+sBB
1p1+Uy4TOT9pu6dmaoaFDr24Y0zsbulquQ81IkV2fm4BBr9CubztsDh4hqoeioBTMnNtjcMrCeki
snzqw2q6EJlHfqHPD4ofMuJaWiVcgr6cPHOKmD9yVvQr+yuumZc2MLWdHqWFt8QNwaQ2kQ5rkPDI
A012jMIKMmA4yqwG75oszME4kI9MoP2YzKkPg4lRdgWSESeXoRFkYRA5GRXAnLSbt2PtIBiPofOl
KCqKLKXe6vch4ymYj3iurP2AWjhezlw+X3ylMPUMPVsdM2QogE7ZFOdmG6OGuSLeM7DVNrTN4R8N
MRkQ2AXuzQ3RkNCI4kOBHWkTEtG5TSxGfFbvp57fu3glnEi+Uv7bPtF51HjjTHJew0O25kBqRt4A
5LZbmZavLm1VKIIOQ65vkjwlxC/qPFHnU1xo2kcTsw/U3KGPirWTdFXuySrq58uK0ancZFwwgZfR
54RuSiEhE8E6GA9lpBmXFVJehFZnBMWm0DvjEahSEh/c2Wi+OsvZHdj3wLXjlOkhyxqYtDwRepu5
nnCu5pkxDYbA2r0Y5tI9B6lDOTrohfAlKxvjaNW1lqz8PmxfStli32zdYvrEKbGNPSxaRH46zZlh
QweE8JjYgEZGNOjYhwaUpe+yyeLgmfAtX+gEM5kQJ4YNuXRUxyRjSk2zuzNQcyubezZRWMSAJMjP
TTXVj13Rhsc0s2Cm5YB5ID6j118GnJ9ZSdyasYitW75OS58eX3VUFFGnqawWH4wWzp6etLU674Mo
OwDaB4ra8bBjDAiKk62LXTF+JqLD0z3N5gt8Y5Fcw3d2oKOm6mYgLATs17DttUWFyMHBO/YYD1UX
73M9rG56BsMFmU5ZTxtwbGwKgGtO2Ph1P7gY4wZXCWVK7F+UW93IMlO3fgN9duVL1daroJ+Nkmel
5DrpFwhSAtFHMJ2LvdoZfK/HTrtwWa36xgqs4azzFxWZmA9NqjzGrftkYFfMIyNkRgZLJoGIHJpO
9hBYcfEVLQXRPGmBZSFwLLujGDoqRoGuTZ/ZKMB26McpOHeYRotVUbWUonDiCLINcSlCfzhn8HXw
gJ4wEcZhe5/4JgAAnzX6qoNvc5Z3fb/hFqi/ZqSGb4ekDxtPL930JpxH7aOshHsv+9Hayd51v3ZG
Lz5OmjOcOZalPYFrZWziV/F8MxRx98Tzl+2CWbXgBDKnodk1N6ElDJlwDgJL1AOoVCTijjXmQZkC
Y6O5DNt5CIg4oYIgwn5iQlNu1oHRlik7ZZGYB8zh7GIaeHD13mH3f1R2zwG96EPjEDVSpdsK9iz8
55DVjUFmWNExY4RBdJxbiAZWZ6IHdeYyAoiAQWkeYCf3tc/77HNDZzCkmaEjQUnDT3BvxhO13yoc
xlqHzY9PdM3VS8AuYobCsB4TQby15oEuipWeF672TBLO3k/MLp3Cw0JtkTag3gYI2Nxz3PFMoQrn
EduA7txaDHwp5eJKKyE2jLpFd4vfPVsMWZspUPEWvAqOvDG1NwFuS2030vBzMLifuDBnzcnOGaOV
I8FeszeWNCQbVvx22Lkd606w3szHxJ/8m8RlT3CddiS3AlYEN5DnxDSwmIcZme5N5gTdRgoSc8ba
oF2Tk0qaU30SYXmHCXdBLTrbIzyyHV4jvczMyzY2cv9oEfoKr5zB7tSVIk427OMmapfkan7TUtir
nTtEAsu7KaUMYedWk2Vsaa4Oo4OlxxEWgaCss71V+9O0xV83NZ+yeRLPbhQnalVOFA5R1xvATrZH
aOHnQdoaPoGFaACeTZSPcbNkuBbh+piIyXnBJMUnQ/XA+uqW3oN15ZfLWMSaXADaRTXsE+otj+aU
6TggCF7uAQUnuxZAG7FpX40fwhxfyWGK8Plvw5rxCY1KXRBfFKY92GtaIgrMo4lsACqFvea1waB2
OIVd0tt1MXbbMoYpt4b2bPvHvOqmSjLtlGJasTLgiNJoV2iexoTtdlnBzbtIF5WcCV5ozdlKDa1T
HnOB8X7vU/oEQsrK7PCeRUo1ByxyOdscMRAmHIgPM8uJmj77yFTPjF907uHiJujaicFKGcExqXyG
tKJRPVAs132K2dwx6Z/a0vYaPg7OgzqaoM8Ejt2fhRCAaRTwEXDpBbcJIMq6UrRm1NSJZsmTG4Pj
XVU6fpkwKVkTTb/8pBkjSc5UzNdxE9zGfSXoWIuShovHBfS3mo2eMfqoKBmIfEb2siW/yRWl+a9z
xF7voNsxQ34kBqAlbRpOn6egNoxDM+gBG1bRN9jE8Sh1OsNW8ESU6khryg69UWnmajDT2y4A2OdB
UEvOAiot6dBq0Oc835ksBZEv6F8a2+mWzIojYNSrOsM/wlE43UdNTV9I00/BfQN8jd+D7meL6olA
v5qUkcoLV+RU4fGnoUuZeU/HLfUhbr4qMoApa2pqUGdJUX+pePRHm7GSzcdGJxrNqKysnzPQ/Qem
dRpQEtunpCNtujXZax2mPc0wqQc5z7iitAQbJib2XQRn6xAzbp8J0/B1qEHVZ1yX7R3fvLs33YAE
ZwttrdgQOT+UIh+fMScG99MUtQ9TFbTxDoeDPPaGbh+gBk/6unP09CnAxwCZnOiOgDOvw2wbeqsk
Yo+BMr10u47iGTIsmbvV+GD3BDbdM0fNRBhGbM4DQjp5eq/ksI8Z3lcVsM4oJCmPubb3wMLTcmZW
rvo2Mfi3qZv/D6Yl0Qatn6YlP0RU+WRvVcvf/8jvkzjnN1C31ONZ3zglf8qWjkNKUmAL1HVbd5a/
/rtoKZ3fCB2RpELP0q1lfvenaGkTkgTmjNx5kjOZ6/0NGK/+/SBOuUwCeVdsI+BjES223rUlsbaK
fIATvjf7kFRwPZDQK6ILEwbH0R4HfGEVaQpzaU2gr2H8GA1JcIQXjswkSInp6CiIlr3zOQ4b3fN5
SN3iLRwPBSTJC9AX4S/macu47M9x2l/f7zJue9PnB6RBtZEz6Xs3Sof9ZOIfL1n/Vir3PVGiokki
4hduJvxvs+h/2awKcuYXL/1ucFgqMytZWaZ9FDTRakbJgbVfOVuya8Um7rTCm91UW3V6vfhlrKtx
scyg4Gaea8M2i0ur3k9zbhEFpGaQGb29ssmiUqzItKnk21PGeJWyTl74LUmiiCLZVVLnYg8o8rYE
ekLoDmVLoFHh12AyU6ZO/0gJzgQAvxqq6yLM6C1qs+5Db4jgPOERukrSMdqkpcyOmSuKC6tzowsK
lYensBvahfdZnEc6R/oJbNa2LtuNyD9PfSgOTFfgvcbQvd2Qo92gi4/mQHm0jTl4lxqpQ64miLYx
DuW4dpsWMVB2j2VkiV0IRmvLXGaps6uogwqtgiRL/JE27ytYejecHmvWCm9ItUezyd2zFvvrcYrd
h2aW2g7/3lmNod+bQiDP8RxcZBlnlxJWrudMMVJjF+2MAQ9L79jPlMTPXo8qviIZcSSyqgFjnq5G
EVrbBt/wphNAYeiwbo9lPxKUA3Ts+bAQCn/G81GLfR0UJAvHI+0WvhfUpYcRaCXx/xRxhf7pI4MZ
otoyvqXQO8hoH5xlvwPGCQd2KClZGSeMaXQNbfhgIZscAsRWrcSnIagpmAkGGosQlKY9086boXON
I3cNvv3uzJ9cpruO7LdlON6NvUbaJhvZhmUmVUOqQykfyr0INWJi47ChzM1dEbPjzF+AlnQ70ha9
YaTnbrjMZ6mvbhzlH5xciV1LnuUA/c9ZOxK0SlUAqCUTbCHZA7XoR2O+08YKfkCw0Yq+X/dhdpiN
GpAJp11suFzNo4XKNJR0ZXaOC6EEqexsCEKxHimj34k+eyGJedcm7Nmwi+yqyoF+Q1+9YMFRCOlw
WQggsHtZURhOWqHF4km19jq34YlQkEZeo6OOwIWY2LsWKVrHXso3d8q6z/OGfnNQv6gPkDg4hcVU
npAY8tOYUWzF+Nl24h35rls9F+JMI/XKysssgxojOD9la59NRZl8IDmkeZQD7sbB/ABugROvM2Lb
IwkCrzW+VA5YXjhM0iMy165bwlUeNvWdNoDNoBVnYyrQErA1VxYN5YGVHMhJ3UYOIx2YwHftGJ1Z
Jf1TbXjZs8miSxJHvd1vxuZ+Tqsru8K3a4vuNkT64ACWRFsS8ZtcdM9JhLKtgvqCtJk3ZfkdQI6N
HN1tFWafQRtsWrZaXmqjsLJDCUF5mpfupAiwQy6K4oqwgkuyWL8a7eAY+7m8yFSlSapPJnsLCTkv
VoVRNC8MregJZgb9YcTq2TC+vtXYfmz9aBDc2/3I1CYYoQBi3+H0b7jPYUreV/CxDoAV8OWnZLgA
SOGa8qsSIXtq8d2HbM7GykDVK0nQykSSaO+awKuzxLpxfOnTlAlrJBZVt0+1IFwgSTVyAzA3prOL
Q2k4m7A839Wuw8MCbMnKCDSxY9jS7FNO/Rw1c1uck2QTB7fq6tvKJw4/dDQpRgWRUkYA/INomWsO
7XjG01owLvOvymk61hJytKWSuymPW85R+N9VYmIBBfFalzYJZNyb9GPil9BkWV9KykoxvXMQabGs
EsrChwDLcabPtYkOgU3gLtZqQZtaFG1s0fs87BrrEUzm0fZnnncxZ+TZQYMYqJhihDnv68Gm+EQv
Xu0g3yN4tTtLGXKt9bAWGzd6MrTa3JiRf0NrVU6Pgq9tx4bRFmf2fjNosX5AUsov59q6fTNTvf62
VP4j7/C7R3nb/N//swzI3y2g2DmkBShcx3djvxtS6vD4dC1ZTlBucVNEJHKymGM8Ma+zn7+Qvvyb
fvZK77YWSTvmoSBnsu+DDiiM737V54b8CtI2GQj1oiTp5dGCu+IuT96Sykrv52/B+H4ie9otOJic
TMPC2SLc983aTpHTgdHM+p6nFZtpYUpmWV2DrXFpmNNqW/OiSk8+YARu9wm+0UuqzMdViAx3JmK/
OnMHZKGiKR4V6JgbbCWul3C8pJ8elNSlRZP7PiFn6cV9GuxRGvO9HMdmU1OU5DVE/+tKOHsslq8A
ZjTCP0t4rc5ueB/aBoPz888/749+27cf951Zh9Zg+FOIoHvNavxbcGFotQzaPBza8/rnL/W9i+r3
b9am9F3wH3STvUNr6APHyhbdg7Zb+7VF8IeWb34ycHF5tVU+/vzF3vWZ/vXVFtDHm12fFvlZPxax
3NOuR8+qZTwYZPwP8RB80aMaLJBK2mvE4RA2kJz3rYYTWyYloHgVtBduDOOLXxISdrtLVTVu46Zr
j52/gGxGbEJRxE+YWIOAZxlbnpyK/FrEYU7qvaasYAQaLgvAuo2hnY/LpqRaticm+5Sff87lY7y7
Y9jxA/OHYuvwvS6X85uPSdJNCY11ZK8qsk2J8sU6M0iiZ67SrqNeI3PZVWnyi5/yRzfqdy/7bk8t
WwBvogCwo5lgzGGSfbETOgeHmvYffMnaMZ/GSx8D/3W67HKwGiS/uFF/+BZ4KAGX0R3XMd831aRC
H5syi+jyjAg1NyyJdI9d4Onw14SBtVVaKjghgv2moT7x1K+2P//mf3A5Awj48/Xf3TndAB5FzwNz
36bdJ6OJxss2941jVikubC34hYtpOSm8/52VIwCbCNA4/Pf3v3M4RFrdFiRHLQOwrT7Af4saso0/
/0w/eBrwff75Ku8+U2MIo0+twtxn7aivBj4gnScmbYGq/MXP96NXWj6KkEjFlvzLw6B0u3yeldjP
/oA7w9EfUuUeWGd+8Yl+eJm8faF3zwHOH12LBdBkNSntr9HQXsXSNncuagY5k874kAQtg+Fg2R6T
q+EoULblxc+/1h8cmU0hqK90HIGviLP797+eH46AESLf2OO9KffzUPd3pTT1AzR/Y1+C+ylKN/GC
PrABik1s34IQIH9FMBPKwbNGt8emxMNYLbuL/CwJsgdFi8u1Hsn7uMYg9PO3a/z1YjMF9AvXQZTg
HVvvLgMNtDVQlJq3FnRn+UTQQQ9FtINLJ9ZKmy9GV42bshP7rglJCA0RtewgELfRmLB9t3IYjSDR
vLrPD2xT/U1MQ0lWcqZpNKhBHCJeS/jcB1EtrEDDPNPtviK0BHWFcSm9bhp1f+VcsLcqfej76VdJ
ncVqGqpsLVRvnlON8G2L82/ToP632sZpWgL6xtP7X3vs/jP/8pw95/94zr/84xKe4Mtz/Y9Dk/J/
m7f61R//pm8Klmv85lqc2xRIL8OmI4pr7JvxzgWny2wBvJaLG9NC0P5Dw9KN3/grC83LNEHkcsz4
Q8PCZQ6OHoM5c0Bqyfj3/i0N6/tlczHa6TYjDjzzwuVxx7/tu2WzaTASFNFY78Ihw/VhZS956SQb
hoTNKvTrcsu1/spzoVzPbvIC744dJ3jPddWTkYoKRp9O3ng+cVAat6P7vuCmffMlX397tL/ddL97
cJ3eogOt2LWwrOI3xDz/3VtElsC5mMCTdzIAqtpsyg1PBYOjp3veVxUkzvFSNZ3XBLJZJQoyxH/r
DZiGK/mqbHcRNN9uLQiwlw7CO0D7heBqzDQAlHpKECbyN+GC3uvgRGCLYltEeGWFIN384i18v0h8
+woUDyEdL4oSzsJkfvsOGhNeQ5ql1a7uAmhjun3XheAlql9ZhN/pdP98IcXLmDgx6Qr4/oXUTPJ6
mopqlxc9BKSgdbd2W9JYj1RO2C5aT+Rr2TKiXPbDAHfAF/m5NsobC13znCZijVSN4T83sTVs6lGK
WyPhFL7cFzvXGmtE+mLa1RlAZ63ktJAkps1psyyJY/btht0+GZ9OXjNpSrn++CKnSj3RRHUQdeN4
ZlRBkcxB23L2nHAdz+HF5H8ks87Vms0weRxri8txvByb5FU35mRDmctLrgFoSWsf2qP7FbXmFuDU
w88vku+11eWL45ZgoCJ0tGA29csv+Gb7ac851WBRRc+m4RPFHqenmNoux8TB5ZN/x5yB/mRXvfuL
zZdcrv4/90PLC0P2xuyH+1qeHiPfv3BWunbZoAPsnCZkmIUceAAJ1u6lZAoYkJH2Invu10UtrbNs
4obOm7hc207OD0p96iYNgy2MS5deR+4pQ5eJR18HrphqmHZpTORikefxfWrMhn/+nb03pC/vXaHd
uxjTFeV44t1lLTrXhIwRpnSoShqlNJArAZO2tdGD5R26YpNQybyjnTK7LEe6rgw6L5HQQUE3dHMp
RpbLA8gct4V1rmwFQaxBaXE1PjSYGoQLPC5r5LrPP3/ff/2tTSUNDNPYshkCuKwab3/rFoysqHve
9qDVRLhMHgoOnrxvX3StSndddS00ajOVf2vze/qxcWIDZRfKwnN9gja+uco6mfmIoHW68/uGXqzO
RTbEjPqLLen3u55vr2IsYw3mqS7j73cyR56WeOSqNN2Fk53v7LpKjgCtX37xJZrfaxzfXgZOmWTY
q3Nqke9+fXjrNkiaPkXfTl+ZHdcUiDTMGjEbk301ucldbWBt6YF65/rMUc5KX/XAnG9KwE9W3oWs
O5O71s3eXWecdEB7B2KfNlzkSTxITIlaRPLfudMUrFZa8i5hCNWHiAGeB1kgXvUAoLc0cgINR1nZ
OIUFkoLnm6WPFP6BhyJoyT/WhJZ+zmApX8UMRrk9+PNm5RAZn8nCyJn/BWoDDCA4SyYqkUstmEZn
uluaW4kHCM8VJrASYcxv45dsjl6s2LjBFeEf/RKehmnEr/Cji33ThS5tffleG6l66pRwt2kRvdaB
76y6gmcuEjD5rh60mqNzfedBI9d9mWJ15Ro0k+AjAydadVP3LuTiWGttwvs2bvLI1fZD2MuNIdtH
PeduH5anN+zJ5qEcrQYLHu3QI2S5dWLyYqkbm886xRsIfTZK6hC9NNgGPRztgGZVWq0jaX3Kaxmv
A+z0tz0nYLCZMwvxrKjGSeNXPeRD9wF2syzj/QZte1vL5KtKWD0HdPdgoLQHhy7l6l3ZbBIWEFh+
M42DtfZoi7LxTB+wDaQdhxSR4a87YIBbnmX5DpPLCyMoSuYqFcEpZgVOJ3TKzMzOrbT8EOvuXbU4
l5E+Wy/xnXDH5sdgYcGgmRr8NHlT36oIA2VWdldsMHa+nb/UomG00uFJ0ey02bgjv2Y28bCsq5ga
qVRtqyp9zd1aMpnqz6q2B+OcvOIxdHfoww1V2XzQZsiIVxsXvsEVSP+a4xFyu0z8Ai58xRqQGGbi
yY5YlF9ynWPs1eh8ZX+V6LzU1CevWgD6XvHLwih/tSD0wIWsrHuqg0h4BQ7DGpOm4v9i7kyW40a2
NP0qbb1HGuZh0ZsYgGAwOEkkk9IGJkoiBsfgcMx4+voQWbdKJNVi301bLe61zJTIQDjcj5/hH6Y4
eUHQhE2QrsiXbPR3WlqfJlS6cZzipi6W8hm9vuKmDwyqlUHzP9PBDtFueXYtvT6ks446DCLBeofH
niI9Pbl5T261vhgyg+vWRTcfzgL/tu7deWTb6DJATgCtbqRpsmc/Jmd0EuvO8osg6ubi2ddxIxbs
cIM+EoI07CW18NxxhWMpGox7owQ7Yvr3MiCRSQEs/XMESnaYYVh3bafanTOQfDJ/Wa4qSCH0V9ds
Q+P31aW0Nj6eeFvL4PW3OscF20gmTuaQnkadxiBGoyiD+mxaYFTP5wfnccliqLLROuFOoyyFXeb0
7d/gy4MQyhfxWjI8KLxUXtVB0CB/zrvzwJrtl8a7MNyJZyrp0mdIP27zaTjVY81QEiPWcOpiRNYJ
YFq7BizP4Wf4Hmxd8c8LLnXnziyapxq46sad8pfG5anBij2fw0XviZdu4hrzByJBlSd8QOuicl1w
g0iIJhtldC1CeCwixQD50EI+RZbsbQaalXSr81OB+tAO/oWPKLkh9u4inxyzPp1vp0BnF+t4kYaO
YcdHVEZfQKvFt0juhSVJ0jZzF3uv2kqGzoT27hz8qFB/2FjMpXcVSdeGNv4D4GdCnsbvHYi1+HOw
IGDhlFc8d+RXazibKxYiLdzrc1DqHcILEidP+cSzZShemDWd/aZAnM5byQ4GR8X18+dZy3Ko0QoZ
h4GXe64m0jVhcTNL26/XDtJa1+dvCFLyZT0SiBPcrVcBcsg4/vFg53cgzeA6K7WRaQxiY2I8+Unu
rOYIbBu0+kApOiVAUvWE+J5xclT+ImRS0G1mqyidzXiOdL5NMEGr476eHSKqu2g4CgTjTYvOB3qS
nN+ck8mQYeGnkIM7FKKNj936dtAwQFZuqZH4qtBoyDmHk1ym4zkSZ9OaiLlJgWYUPqHc8ai2LT40
P3D8eJlVLk/iT+DE+FO/5QX0GTT4rAYODMOJiWugC7SbwLDQbZNb9jC/fr1XLMFDtWvyLFznzlDx
Hpm8ObJiqDlYeA3bdYdNC38zlaTpRBo0SnhVY82mUwGBh/5gu8GTErvIgVdjBSQU69uF74KcDSfc
S4n6VEFVhHMXPZmBquAcf4s1OsZNWiEeY1gbDS2uQ5O33X6944C0WlCE2dVOzwHyFnFyXZ7aBA7O
QB+Dg3M6jK58se9HJa60uJgf9LSBKltyuvH7tOD+iOfzXgGi9oz++Uu1TPexns9cGIqOyMBSr7dN
HBAXgYL7u1h14mryXLFzNVdHXAhMlt0h1OaYGc5rsmpCdNpAZ7oqux4zVpX5B/m544VIbqWHQtZc
eHPXXBMlm8vMTrsLe4QRgWSbu5msFAqDsQSh6AHn13UQ7/IGlYq6HedxgwArM3G5JM+pNyEYaBl2
Fg6GxC/Fz4A8egg2ZFP2Aqz7KVZVhyNiU37XArF8tlD0vQT2Ou0S2X3OMUmLqHOy1XLLeGKWAGqi
nCsyYgvhBIRjd5a16AeEq4BhUiYNNVqhGyGH+kI5qXdr9OXKkJmRox1X6dbVC8NfCziRkic3i7q2
jNQOUXsxjnqQPPdaMe1yD0guLS9ra4K3CgUU2MtFcZxkRbBfy7zak2KXGkxXud7b0IE7ewi0EmNm
p8CxYlUyxe0NITi71LctCicbHOtschRIpGmJog0wP7DApvqZLyRsHaisjdFUBeLD4CfoR150QfNU
BEDWGLYvm8FyUYy10I0TwNAjPO3yLZbAMR8PvQwNyXglBvO7F1R1M8PoQ9U7xwIWS1Ik40/g0umh
bPx4N04xIqcmbCQPYbZk/o6YDVWkwaAi1eB/1D5qMXizAZszM+SqRJXBO9aBCNu1qVPDZeC7M9r8
eZojWTTq+yGxdyTPtxqwH1rSpIk6oAMUtfd+wjtN0isG4ZdZTfy1h/HB0MejcoF++FmJg2eg/ZQu
m89DLZfRNT4tote+OR1RN29Q3OoW+y4RiN7lzGaVZoldhTw4Wml9C9zQ0A5NBl+vnRA199fKZxES
5P1CWMr67MWY6iBMV2FAIybS1FU6P1id3axveNmOBTeQXbnxy4jQ1xY9i+IR3KZ9aS/605l5jjHf
E6LlpFSiUUi5Bjbhrer36Ld1kahJgtOpWfA1JGPSqeEEM17w1ec4bmviZOnccwnBQTecbq+hvBb1
EsbhuaIHo0I4sDimviSRqXTjzsJ4GfBtBnChZN/W6xalYI7scXzGA8+PRDXcpT47Jg4Q/dYqlEgX
roL1OQdfvzPoPkSta1AWcltvAtLs3kifhVM/6QJJ5sHR79oFGV6oaOzQtJ2OhpFiEKR7uJ96yS1y
USc5G18pIJtQH9AYbXVTPfSa+JJzpyVQ0xtzDo6ovFrwa3JxlY88jU9WBT+1I7tew+kC1vFK9Nx4
g9/JcHT8eysTz3IuTyQY0+3iTYos0LqSirxGMwL0mTKXuhGT5c4cocRPJTYw434w0yXsQPED1Vbu
NW686a0OE/PL2dyoIk3eG8K7KGx2mCzYDdAVahIs1hQCG+tsez6yfBVoSi0b78sGR17AmySea/Mq
S8AkoOS7nX3iWtyS54gmna41zTL7jRusQXqVE4ANS+7ddkARRnJMcxlQr8pyZIRVfSgSI4r1vr0w
gvyl0tKXhNteKe4hmIDXicUeOd/o3UQRtqY7zbpXE7bJdWyDOErICSiuceyxZm2v8cB4hHBnVnNd
4IFN1QIJbtp4sGZ2faKe6pKrZxj78SaBpgAmVudlo98fgfeKjzOdyVWFf7oRbic+NVD8tqVu7LVE
h2XnITNdUNEjtseeZHxUnbLBIo2yUV9AwMk4JYhv7gqTPYys5fK1tLz0h8qmYEvXYqAD0gP+wbwW
Wgi7KZgRvCrGlt+iypeVrvRcxkN1Krj1zrufehPB/jw7Uqy+0ITgWxXuJx91XTcw7xC1ptTDHHOX
S+3n2qhy7KU59EkwXDkNb2QW6x2YsD/7Gr49QqprUEjknUK6mMsskFvmQ7g16en1nBHGaEaKfenh
zo442lFDlJiIKy9nc1n2dsPHz4VPvmqTYGWaeQOCv6RtgpSClo7GDoxaELLbueJ6XtFQ2XfnuzeY
OKcpdsB/Lvyd37UX8CUDuQmaQ9fdNxO8IR+8IclnEaF1SSFu0bB1uu6pwfhtn+vlEi6aIfgWvOVu
KZYwNcvVQlU+Os3ffiPvdT8zOMMUumua0Xu6tnc9714Mya1uTgtYfk87AKDqUVbSETgYh1sXDaGd
6XckwF3ycG5knmskPAp+ZF2ZvrhTN2ydzr0zEAbbjVpnnDD/nI6unMoT/F0SumFNSj1qIAT6Muol
ASKlwya31RjJnIswlBL9T72PVF6scOhtgq2drFlgmtUArCzUMBI/xu/SmP79FjkTAfAogF1dugLW
m45UXmRpmXBSEM6kpvS9MT62PR0J1yTpAlX0mK2tVL4f93/PcTNGksY/v9bfNMX8gGEG7G6oq/Rz
XzfFUHFpnMwUfZR7iOshtJgeYKByC7kNJA8NT+fUHbDNLDLrg3bVamP4tgVK+c7oG2UD26SX9Pqj
Odlog4igj/wGjVeHoI5Dh2Z8yka33NmLlF97ACn7WF/AdTn5bQ0L/XMgzQibLOPpz8vwfp6Cwgaq
NZ4FH5Xt/aYP3Js9Wqv1KCJ7DQJrwwAaKCl0O3V75SCTmxBd//yR69d70wGmPwpJgfGEbvyDvf2l
KWhVyNkomlIRDn7+vmgwKWgS/sko6vupVQOK29q4q/BBBX2LVfufP/03p5k5AQ/AkPQ8ynq9+CWL
auFW2EWNTzImaOhs8RJrP9jhv1lWusym4zqr1sS7MRW3qQkQ2+mixcjsbb+AolD59FWb2+s2KL7M
HQJwf/5exu++2KqU4dPfNujur7vul2VFpy4hLSm7KMny9hJ4UhBmna0uCAm0ckb/PuX6hJBJ98x0
k+dyKuZomAyJSHDTb4sh+7EUj39+ptdIi3PHdJ0jQq5ecR7vNpdc/aACXXLGRP61ls7885/kV+Tk
eMXUXP/549Yp45ud5YCz8Gy6/qvl0Fu8W296mhtXoo38zLtWSBztKg3F4RpBu61O1rwxsE22i/xB
6uVFoXsPKnO1zZCNV9ho/uj8sdgsTrZ8ACJYp7LvHgtUrMNW52hjSPr6zVhoiM4JvPKoDAb6NAXJ
swsbPsQhhSvTNC/6ujmlNMn+hj0nw7bmFWkpxoyZVj8ZaqIxRR4HLsaEqFRjWu+51vVogFbr8vy7
2x6cDijrYpOCdN6F1Vp3wKNf+iSF35j0OcpNCarLdGo8FIJgjjNbWqeOAjvKjakX+dYuuxzQ6Vpb
63iVIfbJvB6ldpaGVtY6tjtfbPmiq4s/v7K3mlOMVNZJMpaulotuCw5Or9cGUYGpozCUEQbACFk7
WH14HR7nxYjovfSaDi4+wgtTV6KsOKCnun5NWquohGP2MfserdqYmw6jJXGUeq/tHZ0p0bDmzQtK
92FbJssVLQmxgaVsQrr+MJ6dQSCvA5oHHsl0gR66DKX1N7cZvQzivCLZJClFcTfwNSwYLVg5HvxZ
ExBG6pYnP3DU3si9BjXGLFQj9IU/L+X7zQ+HJGB7mUzudTS8Xq8kyE5LogPcRJgjHc2RhTHZCVk1
uB98kPk+0jA6BLsFpBRsjPc20jAFiRs0X2GzonGS5+Q9xiyWsPG66qVYWjocHl2pbO0uQ+CvN0g1
8jDYUmyB9iW7UabPSL4+Z9DPTl5JvScoAVlfsa/XmrGieKe/fQITTuMUyYWDhmHnB7O83700BngM
QB1PB8f0dnJcUbmacHlllLYl2hUF5vSqmuS2bMk6QeY3e2vsf6z10ixoP/VN+jKX/gcR632A9IBF
ME+0TMt+f00g5t160jBkpNv1TyuYmy3LwIcVytyO80efZr6fYHkrEjhg7msB5vTfJB5WbXRQ7EzJ
/HJMQiHrebeOJZfWTLaBkTg0cEmoAWhzRfg2PrFL/VRPtbhyS5J7W0+epW/MV4XdLIeBwhv9BkFl
XlLZa3E7XOXWePPnTf3+HuWJEaMjIXaJ6G+BBMqZvBIRJRkhig+OqYV6rOHYAtGD+olWNspzevHB
0PI3CT+fxo4ARAyGClDy65NUkDqMdWMi7Z/T2Gxqy6YQn6Cn1PYEsaOjn4rrOBVtf9HSnroMLBqV
a8+QfjtiSWato61DCyFmULTrxNDSCLWMI60VI2zIZqVFiZm6lN2W0z2hCkU3fe2JVAaFk8n4Oey8
NZplDv3adfxim312J6iotiiUpgd7AQeXCIgCINMeisZcNobGUE/iY7OBBCzD1FuT+XgMIgQdKnSP
zbuz6t55tlEXME6YuX1fK2E36/i4SWdCEX+1NFTopWxHlEnZhn9+lb8NG4i5AeBhJqyD2Xi9rHA3
4STahI1k7tJbALA0BShfQtOxuw2N5Zo7kCI3C8xn2uZ0sx1edDU2eNXgQLKvXDUevZke0TnWl+bI
aHTO4O/YrXR2XWd+OY82bWkEYH5K/K4Zd19jIfHRvPl9AusTX0leQZzomCG+ifcqsRnBYgIbYc87
b/oJHHTprUfCTodLpBGQIPKX8ouNo+UOXzHxwZ25qpi9ySd80/YcC8wLcCjo5q8XMvAnEYxTVUd6
wRSthl19awj6/X5BJxwdGfuxkk65zaxUXCAerUPF4IacUAEmKPNPjqgwadI9CPwL25S7i4kSwiY7
SMpfdbjXYq6fNJgL2/P8gdaGodHni7GkSuNUPTlynQY4NNlzmpKRXq49vmlt5y4yu1PNaD/qhbOT
enBSA5IRjrs4IWK1dO2T4IX/MfQoNP2n3eZFhCbXHAmPceMH2+191uWbZN++EaBkqTvuuoq/5MMQ
nUWVrwYdDUOK84CgtNeRsMFESOLZs1+6YtwkYrmYdMy8l4yMAaEahgcSZRvGMIveA5xSKHVwW98V
a3xr3HtszJFV6eSXiok+ZHZmEZ5eztGfn/593PNNl4yCc69Tpr4tEXsEBdqSxkuk+XZkxMwX11Ah
ZqriczeqiMsPot675BnxPeKARVFmk8no3ptdBRcnnpWgEqS1LTcztCogrVzH51lMe369PUOhgfgC
kgPQCG4VzDk7qGAWWN29apTYO4BZViGLj4LH24vy/HAOeS3nbUUNrX/+y8t0MbnB+KESUZaCI+gU
zzCTRvTrlLVYV+XPy/+bj1uPOEgly6CYeHftQCeAN1WLaHTWXeuVp1kjobJb9g6140cV8VkC99cM
0iPGEVFAdAJkM6gcX3+9VA1MG3Hji9I0dU5BBlQ2tZW3m+wgZNQEgX8UZCRZhbITIr/OIXPG+GAY
WnVtIxPw92iXwW0+9DDv+hvMdqc91i0ogY9Dsx85ozu6K+1l4csqCsYZ1Yauyk6VlQegVUqmm0tX
hbhv0YwflLvOru8y2uEXeY9oaJ23zU6rEVDKfV8eqGHsdKvV2bizkTrZ4r+FZ0Y8hnQkm71KGjtC
2NA6guXQmKiIGwSmcNgEDhbBBWQN0XaDvKXl6JqI5KaiTg4X2JC7ovL9XZ/yB6mpPRsr2s5A7OVu
JlELywLBUQ9Flqt4ZTAKMjo6gigzbXD6Y/ArSusIQNUBByaCfOeWTRVW0sZyMFfDCNKiEnTJYgvH
48aHT8wzaDLGh1n7LDv7Jkkzc4eZcQurHtUioS3GV3gCVoQ+hvPBQbPeJuoQPkjCoPpSEAPD89/0
E4OkQf6x4JYHQeEfznWPVYAaqVqdyTa5VG6W+o1scCuL5Yjg0jLDPpXrC6yFvfMV6igge8jrPeVh
GVek3wszt7B2aFyUe0asRdlAe+RecM8hQO7QDatChgg2Qj+stm8t2v1cj/YpWH99Xnc3XWreOx5o
k3FyQZI4uPL1qoTglLf+Bw2nt5cXsD8OFCeYPIZAo7/Z6kROw7FwPkO5Y4kU8hm0iD44vW+D5/kj
PBCGTqBDkdLfLDBVmEMjIPEBDOT4qQ20X3GxocyQC2CQzmpYG+2jquhtUsCHEjttkhvqCcLGmwiF
JaebY4DlhU2NSw7DL7WVi94wdhMGgAFGeprltBe10mOEI0X7QVvLeJvbeyh5kyCbJPD0U+m4vA4h
c1PicVfWXti7EhF/9I9421gw5Pn6gdgXXcig8yOi3T1tBxGhLDM8/DlqnhFwr8LY+gy0yJE/8AH9
rgDxX6M0x0Z5psLyN3eFthvmpj2UNq5ICxrcywZP0GCblXr7Dc2nGB0uz77GuxYb+s70P2vCW3bp
4MEIGu087OFYPumtyVI2LdldKsMSNt6ncZ5bGNceX6dLvVODQD66HWPzaCagEjAowNR2DLpbnM0l
3D6t+CD5cky+w6vvSAJLyxTnYUiGKPO/Sf4Q8nDthis07DlVp9FSU6jLxEB1sh6O5y8RQE67xa/B
O7Upf8DgMd4GC16PBc4VWPray86iF7G10jg5BEmKwFmdY3YOngsWrvkiwWIctAE6VO/Dd88S6w7r
ZGsvVTYcMYuGCtu4qI86ix+5kzcw1Ybb6uQ5aA4XZXG3W0D41OuMvdLCUprLTq3EdnjnoVBNez3x
k6FEgWeTpsmnWXO0rRuPxe28yMdF5RZBqD86Y8/D2ngxJE06XJmZ1z1pdfXjz1vGenfTspw04cFU
erSCrbe1lgyCOFuom8JEKHonvaa2Xj6csmT8XEIQh8FpG1CGDYR03DnemnS8trkjfUSCkE/UMrpX
gvkyxGWOWV4NqFaKRP/WzDnqi0uwXPJbUCBbfUgnJMkPNJIw/MLXJEK65vuSy+CSKk/f6ogWMVBp
7bAxmwpQn6m2mls/9sXchziE3Jc0pHdiUR9lNva7aAWvkmqTtpGDljHt0teHJs+6Gb3QwgmNgcsb
oTPrqzmNDMF4cPRQex8Nxtrvog7XkdDSSjjuS5NeGkgBoomB5WCeotxXFnX5kCUrvCPj2GGE7mBe
5ORaaI6Sjekm2k4BjsMYnT0yY4+xNTI/3/aIJe9n1UdYQxpgCezP42A9oXBYbObA+xyn2Q9qHax9
mU+hgql5hwTQxhXi5P4tYojmPi3QSQyGgnK8SuWuHKcucukNRDYjv5DBJBt94COnoLA+6OH8bu8w
ubBpehN33iWF85SlzCjZO1DfXmAb+LfrWVG9zLeIEw0ftHG9dzfXaitvgVCjk4v//Fswc9nTq9L7
jggLnGqXM4d+AliWXsqlMrb6gkCzpcf5NVpf6aXpKwKeIv1CUxeX16Ehg0dWbss08e8hiE/YuVzF
i4MDICgfdPjmJK93zcy5HnIgr/xdNHTdZYfFV7xVOdeHOXKaSdtf6rZZ7swaMJ/RIAJv1HV7wGXE
YHI4Vae81d09Ur1JmAKJfxiHQn1i4B/vDDMd7mSWoQVvgtMQtkGLy12aPe5SwxVgruCCiexdBz/m
EIiZyLEEPUIDlXdSsCuuRp2w3EohcMrkcZiYFmsiPjw4uGbv2oFrBrktv8TY1UP3tuk4hZ2WX5uo
36JpVSH6FePIBoiZcXaa1loYKERa2yHRwoaF3KSe4e5TekFkoByI5YOs4De7hU1CL2bFo6+35Otz
1rpuIUoUXEMfh2FiCOunkGnZLjWuKp7DgfhzaHv/eUwVQaSTYlGoO2+rdFfgkqIttYNHT0kCIjkN
wOaCCzBH/gEBweaD02C8Tywp2860VgpehnnB+kS/FEk+8LYGP0s7BMdk7TMER2iw+O4JVyec7Rc9
vZwCO9snuIbKulcH1RIuXHQ69shlGVtvrBgFjF68xWIyRzyEi0ofeNV6bStACUYXyYavkrm1+lS2
hGunWi93J1bcPFlx61T1t3kNIwnWRCCu2XSuUXwDv9jsEX0mvKPLt0voTd5DiG0vFte/KoZUhEwZ
Xho0CnbL6LwIr/hmpjy7pndTOPvxcklfy9wb/URjpVb3SOQQqTQi//lqlYJUS/lJ+gSizNoHJYB7
A5AvGBFOU4BzYZSyBTGvK/TLsbO7CJU3btNSAAaX5CUC5fRtX6LJq69ndTaJH6rs5+dqIb6JgX2+
NGxxoVR7AFnM3SMIu62QzWOGRFrIuuFirXgg6Xk10tHc9YGWMgWY4Z//86cF+x3WqhaiQ0A1j/dy
v+vNEfMqoAWbeb1189REQC4THoeFcJEZI/lANy0s4tRepJ3uXxkNA/y+4F+DLvEPrccJRaaY95SQ
QVRxAO+9BvwN5ruLVNKq68wARVR1cc29wNfUkPS7HrRlQa7aaPcYSrkRHKXgwiwz1q5w/KhY3Ad3
9r6X4HXxZLTNC07ncIJTY+2JYOxiZ/YjRHJJWTLS6PNxD1yWD6Qpn6BxC0jEAbGxY/3TwOoo2nkd
59P1/433+T9Qe8wAYLJWEL+Emd237tv/+olQbzdffyt//p//vfsvRie4uF9ZnP/9w//QOD3zL2bc
/FeuR+rMc+f8Hxqnp/9FsU0EpNvgka2vBM9/SZHpf/En1KcuB2qdofIs//JP0P9CapV7Fgo7NRXj
in+Hxhm8yaLX+sCyTZdKEM1D6FRvKgXwZHQJK8NmIpa99J577Sknkm5wn8cSC2TkjfDPm+hExPdY
Y0Ogcb94Kon64GuKFCbt7uQyTpdH0bsRbfLQAEmfo7SvgDY7hKoCed7hCjjNY2NakeiSUC5OlC/q
oMttncZ7u5CXxmoR6IfuyM8y4ixydbCb4kK41p2rnGvHRYG+se/s2KDJslln5lOShrMMVsfQz74m
Py8TKA3UOO0UneFS3xTd81J8nhPCXblEzuSCVx2vPOlf9El5oqVxXdnTo7QoxLvqlrH5HgWbqACn
m0P8QP7+fgH5tPNj+751E3Rl8psyxnYNPFi5aZEUg3M/ILRV3HWJd7BkC7jUGb52KgBkpJ5ymyVL
dBswtXvRYHIAGuC71lm7RpYnG9jyLzvv9p+a5xXRdX1Jv5RC/7xEDyIRQpY0NPw3pfxMktymumaD
4Wh23G3nRlkyNjfOPN94ik5gilULUuJ7DTzawJv58wO8TZ1J/CB70SF16SasydmbCw/Gk18HJqxW
0InAZrKT36sQ+zgDOrrj7EVq3tixcKM+Rv2yWR6HKrNOjuFoF6XLUNnb/JytToWLq1xgxFYWekZc
7uN6OU14D/U4j29dP9Eu9E5sSgab1Fyo3kbVOMOLUUygQAzsR+Z2oIZRrsQk+BAH1mUzMWNOoZru
+9bEpS1G32ha7nqY+EvL3cXZ+9tqzMsYC3M/h6jfpM2xbmTyj8TIvxUj/9+sZf6vf+t/YpiEgmmZ
tFh+2Szv4uT9T3juybfq26sY+d8/+Z9qjcZfKwkVXzKX32eSePyL6+55f1GSeeixQTYyHNd0/itI
GgGRle4VYE9n1YXw2XX/GSQN5y8fCA7FiE98I1C6/1aQDPiQVwfMpdJgoA91Hr4h8fJNypoJQPgW
wjdhq3efMPjMDsh7IKiVOH0Iin38mfszuFyQFYe+LnFKn4oWv23XOrhLaYV4XFXgvmnCwVYxRueu
Rbw2NGBTXHQK/e60QMrbi6lELD/xLpAwrcMOedkfyozrcCmm3ONXyu65zWK9Rd+LSnajpsx9ch0j
fexk1V6t2FpFJtNlMZRo3b/0mBdAWRw7JgeJExQHGlANpr+j2va9jes3FhrfqfnVfq78S1+Mw5Nr
lgylahoVG5Yjo0SYMVxXrp+FjYY/LdU4OCZETfKHqvRsucWYfEQvu5gCsNW2r1XbCunsGzHZdg1s
FMtTPKcD56qP/ayKJiAoD5XShy8MxhfOqpd1NMPyGCZZhtyXqQuBzyo8p+tZqBFIjjZhwtqBO7np
imJ4VJWDjgdtBv2SzlUFk3y+NmZjOGRGO36v9bJEZbdAaaot2vYGpSQt3Y0VTpVzYTiPsT5ap87C
7zgVnr72UES6QdV8uJibYbwb4qTaKytJfvhzwYIn7rQ+eGGhtcyz9wD+ndrHCa2HIoVvKGIcvObq
2e2lc0H4tTFjyHSThwSwsaEbX9PZyI0bDAniaiu8mRl/zZWx8TULfzTHzSLTRSwLYxx1Yac0z4d2
PNZeq+/N3sS6PhnTT/2UaZsxTwZjQ44NUZ72Ehl9v4zfkDLIj+PsjVdsqD6PN64vtcjFHHefrEJb
gPiRHGzrndCNAWVt5R48rcweZVt3O6TJm0tDq4tPmuaVaI1P6OYhrB3VZT0DTx2tmzQQ+r7w8+Tg
9qV+yRuNL0ytbShHhf61WZblmNpJfAtaHIP2nI2q6tF77gSMPd0iMxa1CYcCFm3TjNsxUDU+Dz3z
ZjGNWzNQ8gGDijhMet/+lhnIHGa6stEtV5iEkOnTr2j/1nX5pUyRpUORboDRPzy2oPpx4uk7RHVQ
XMg+l9N4UFN+K00kfFPn6Mow8RY03UDmMxKGwNX0sj9gfSthFZgmWb1sk+yec+BdtbAKPwXCcVe5
uCk/FqgtP7XQ9e+R6IfOgw2p5Uf8pQwpzMkqMYZWGNoh6t4cBHvqGuYgRcTU4bFDFpddlIGFpWdZ
u4x+0aq8dkrfOhhqdRiZyzrexN4IwmYoJMCjsuo28xS3z5iTJOuh9IN7rzLgOHUZgSJxdcVY1HHn
29TO0ju7Ee4OCWhAw4zXk1uJTy4ihl2SfZp8f5bgVNJybwXu8EVmOVZNmT0eZx1MPU0ImCmjNSz8
pqIBXt8bnwKz8Q7+0lhwCqUz3PvBZD70pTce3HGan4MiK+/nzqzVAeqf/cz+zl4A4lpAJByDUWM1
m+k3Iy7sYttM/uqLkXreTY7x3n7WSxNh9by0mlCg5xmNSYOjzepDFcleVDf4MVj3A9OpY6wc87Mo
WwuqSoOdCYvi3qZZj1m96TbGXlcYZkS93ic3y5gbd9g8uFE+Zt2JRnT5PWcL81Zjy3xsMTo6Qaqz
9rEBKB7MaUZrrvCvq6pc0N1WMxB4z4p1qKsSJdtmTC4dY0AJyheCBMJxENZRmmHca46Lha3nFtqe
8+tde6Ir73yV6J9sLJ7liu6w0qNcRu8hKUod2xOAXt/HpcbXlab6Fg5y3myV06xZ7TFHxp0zj3oW
aq2o0+5jjaZ/Vo4N3OXV3s/CzvgwBtW1Tu6pkVE72g5BIxKXoDMOk2+Ud26OjKfDwd23eplFiv9j
JLdUn9sBt4quzXDcyYKbIc+SKzGV/ndhBdnVmMQiNMx6OTYKynHilubB6xz9WSyNuBoGZ6JPG3dR
WjreJTNn3qGZuKc4aGA09Hm/JRZViBfN+bKtnX7ce2X5bLRFvYc4og4WRKC/tbQJXb//O3cLGXH0
0wtD0DtqzHSn5WL4YdfZz7yV3t5ttRnrXwOCQa3BV7GaY6bZTeT0jn3BrODGhMmxwxZEA+NQYQjA
EOEi0eKjnihnFSOf9H1XaPPTDKUsha2TqDszBti9SxJN7pVt7paquF9QPw5LVE3DOpVPhT6bF4Xs
UPlV2XOuDWNxpCvlWRvEs5hDJvYIbb5fprCL7eGTMdj51TRoMvSF7Fbc6iWIya/9JA92BfcKUUOx
aSekyct5Mq792jwZNgbEmzr1dapuFaRiMwY1YvFen1+aKAhA8pHLnKK4GBdU3zr/2Nd2GcGtOCoR
09mPnbmZd0uq6/bO8LsZL/t6lIdBFd/KucCroXD7L1aBVAeeF3N2lc/dEFWp0ejbCrGFTzDPVLQ0
o19sFCiGrTdM9IfTRJShWapk184L/KJes36WwDmzPVc8VGOboQ3JjJYUNCv7DMcu2XIPZGZbA/40
26rdLkXufq/qtr/x3G68yUTaQuejKvJGLrEgQC0ZPf6ruvZv+FpMQmlH5PdWqzfWlv7HWEMhG6fH
OE5/BGz3L4vj7kh7riDJ9qFom/wbAbH5lLkAU+rOKUF3IMbJl6ob6k5qzXzIli9a0uhY4RXTMbfU
Ga+ygM0bu3lrBYqSzhfOc2uK+Cvy7g0Ckd20X9kGm7LUvFBZUj3UiCcfkB7YF63XHhG172+xzkwe
sWKXUbk2usBgFE/jYMvQ9BYYRn5Rldmh6BJ1GKsAouEglQTVhaz9Boml6pY7YIz6QgzXGDYsR5OE
7DGDD3ycWm06NqafrIIH+oWk38eF5DmnZagA1mDb4l+kirVygm75bjaOfvCTFSuEv1HYlg2gzNJw
IpE6EUj1h9nFNBQFebqiNKikpXYmIzhPp33tI8iLuVXZ76HA/rQAGJCdsBUxEPgP6s5rOXIrW9Ov
ojgXc3VQAW9iZjriIH2SSSa9uUEkHdyG93j6+UAW1cVSSa0Wa+ZoGLpRsWonEmZjrX/9ZoF5FCRB
InOSukPHYEpzUx3OJK3QtnjU65s4HyAuJF52QLmdzyqdksKokkmAmMrLvEZ1oo5qTS9s22comVE5
eYSTJjnJimlHXFE4eOoyFymuzRPkGGrqid82R6o6vChKFRA2wWuqnwGGGE8Njgj6aKD0Uym1Tpw4
05cpvelRDQd6BS7rylXHW8UplfayRoR7NeiTzW3Yt8tO6U9kPyjhzUF4kQMTrkLbo9/vJlTRA/Ma
9BxJMVtZMNO0/o5/xMgqscaH0h6J8YvkaImBTnos57F2w/kmi1s3mzSGXBdaGEDHeDj7srROketi
K2tZZzkheC6EQZk8cS8+RT4hTsgI9M6AcezjBKHtMbKIWEUVHRt7nlCYOXkelMf0IQkSLdV4Jgjd
Z7TspadaryonRqOa26YUxrMTeM7OnMxXwi4IL7SyKI5wuNE7F9wjvJOUpN6xbYpNMcbdvCqsRx+X
5rWVEgDu61FzUoPh3On65GsSpWnqMsdEIjxoUb7LGTxT+YdauMkSv6LlN/KB3YPsKX/s06WgdVo7
pWVuJMMazgm2r0aQ1GZLrByTX8lJt1ofD9edVqWnfRLcZiQx7KEgxXedbBdrzcLCeoghbhBasWBK
ghw6NJVFUvY+puFKdlJaEW86yBw47ZHIlMpszo2DhytiUONGppXhNNvJadGw4VE/ZrdBGhr3Tiri
reKn3MBlpZMaV+cWwvamyXH19oMzXyUWImlMIldQxT96A16caPwH17NVPnmo2mVl8R7vLcs/YuR/
Zdatf2NLHlVmYsrzhoKoLP3N6Mfw/ms4ZYk49AyJ97xRe9nF6iKby0aDBRipFTLeJXParNq18+4x
xPKFhLk82UZlN3Bbt+1GMxQFl35yYNQqJqM4IXmsC2yU9TkbZDHZKImnrpWdJ9/OtQ2sDpwnQsLd
5E6UjwNxjkeiNX2MKkIRMxQkpsZLkAWDoGRLTOI5fXqnn0qGPazGIC73hOuksFSz/EHmhjlp8MUi
+6LGvlJltkrrQzmB5cy6tgbc/x2ZXEA/HC48L6yoFyJxiBVn5KvkJNekY/BIM6ZuUKpim+KRDNIS
dnMlSWN3HrcjqUwICZW71Mqk+wRUe1mEcr42sHeYQiIFbLOxT2h6alvZl8BaMwyF5pVNgikxWk68
tAHSrJnTMTKjk0NMmVdcLwNS4+2AnTp3VmeuMimFlO81O00iKwheqZVBIyI4LpuRsPjiUPBjFXDc
pw7r5/Wsb1OAfBysKU/lbWyWMqLF5Lno+jV6tEu7sVlGacM9YZVI1kU6rCvb8peDXhYbROD1Buub
+q6Qs/YwtqTZOJZnXkv46B1nQ+Y9StRMjFmbtJm1peGsuDw684vW2mmjyI+JEk/uLNtrqI0MY5PJ
lLSNJkm8BYceTZxQQ3ntjLiUwRyW+uMiTdniizBxVqoWkL4IiTmk1M/spccE8VHGUlxHPmswbxCe
dY/RrMkIXbbj65wSaUFOu3NSd6O4RZYWroaAoGcG1/3BTJHCu7BGFcKJBoQLejqe+cT0bWNj7EmO
rjpmQURQMW2x1IUHk2MzglScOwQwHvzBQ0dadvltzvuNLb7SNtagJwsz7sqdXTNTJQwxNxdNjWxR
9YrsrEb5R7hC1pbPhFq35IGbpFNUrV7tTIPQy64ZNPIS8GW5E5VWrKxKfQnjlFjtAE6FOwyhtrd9
XGQ6DLWu2TiwrZcxK5rnktFgtjCqGESp6lIahuS2MWIq19ESe8IsTDeoRXbila1xIsqSZL6xGoc5
8eTEOOiJWu2x+MpPKa6jHBPzbFiXkTpJjHmJnvsZzC4Xd22xgUiPCFwZywuiIJrOpYRL1gmZ63OH
LoYAccWfFSKtrkwZz/1syjgbqtgnx8oOV16JMA6j7DbadKmpukbVjduE8mxbFGN32xLZc+lQhZ4x
QOJtMkbadaL24dZplYis9YZ3kdeNJ8Zo5CT05MRDlHqk7NIKs85AAac1ImFs5LztCyZbIxbdzIyM
Q6szuiFJVZMPianEBeDB2N/oRNOAtUROBfBQ6zCafJTFR9JYKQsts+l2C08al4MV5zve4/ld0Hv5
dWsVxmLMdRoDm8HfQDDBKfkn9pVpxdYW22HIfU1rwMlTkxOjGCixorqKCxcVcnurWLU5N3BlPvX0
Xl2VlTJaqNhj825UPImiQUYentviSIoNqs4wsjJXavRiYRVeRM6R6XNp7UPegYAEkbQaAa2W8kAP
zvdQZio8uZZcAtOz2V3jDov0WTphD0rCVVJqR5mXkkiu0ISDy8aYlSzSsTYfJJ3+oh8jyiUnNvGe
taQiqcGscggkoZ/O+NaUtxIRVaEXiV2ow6wx1D6dGb0O3vwKaP5b6C7pkfz3vz6gtK8JMY8ZzR+v
qfof/z9BuxOVA301YzCScMBfGWD9Ecg7PzyVhzd704OPuen60D6L8Bd8T3/53TnZDz/i68hM+8L8
TdUdWLgG6phJt/vNyAwioUHUtwa3a6JsfjMym/SGpICD4kzjtF/RYFWeIsdN1uPrTEv+e+k934/3
38YtqNDBQFGWAouBFn8z3ufWBpGb3I+87orB7c65VJawPGhgQjekNJ+GQUu5OteuCKZzGmQSV1UR
LsPkxiNnJOTBsWF4ynFy73gt1vZIWTBqkpaWXa5aGg2vSjaB/TD0+jzIfbIaw5umu1ex9JUGWMHy
eDGBTJ06nCK3h4m0ze2XyTJ97ZmXLaX4U5AKNzWOB6YlabfLyF/0zBeQFRha1K3YUSnmxohqsqRl
5QTe8XzoSN4KhlVixhFeU82sh2JiSCvZJLo6UsieyBpx0gf3qUOfm3YPeM1dVbV8lhQjcWU+HgyG
NuSLyoK4kD7W4tS0W1IwsR5zlQjGjd+5IijckgGMpe6VKLrwxbjRtJLdYEq3TraxbAqCgo9RVsNF
yfNTTGB4ifpg2swUSZjbC6hQfR5FrqRlz0ajAzYX+p3MtsJlWuBjs8gcn0DAbqlXMe/+AcMGrGnM
cg4stNPCel8j11Q87TG2zH2fcayQGA3wHPW6D4erjN0TsHbh68iMAO8U5IIWOXMtq8JL3vt4vrkF
nYir2+FJUXWoLv4FtQlnsu8mDW+TNGSDCgNji/Hvx3srbuWqDzPJWfRjcgUelM10vdoTEbgOOnOB
sS/wnWVugVpWIj81kp7YZP2oTuxmPsha6ybVBMXBIzBDsY4leRk23bLEcYzQSG2vtdmy740LTTew
qomqeaGFR0V6JDf6qszTI2VggmsvUvz78nA8M0Cm8ARYlAr1CJcwH8IXvTTOjfiO8hpbPGOGkcXS
j+KlrwSzktlp0WlziOqoLK252mdE+0hr6Lf70iiXrabvB7QoJm+jfoD91ycr4oQvoxxIWzFXI3WD
cm8aTFbHZluY4wkG+YxVMp/X0ZRq5XBXxkO6zFsmjOkOe+8VjgkuIOtDQtSPEPgadQTqNYSt4Fcw
HpMXtbDJhx5yY5lh9JOwoMv4D1mvMmzZLm5U1T+J0ku1LHelp68rpbtM+3vC7fqjnEgCEDLFuis8
orgxlr2VYIcEubICEY3cjtxhxXTWhVY+0fFhKpUMp/7QeK5NEPTcqbXmqOgKNzfH+2921x8MfL9X
cL3uzhgKa5iLqzLEge8kImNGrVh2+IKbWfxMsvIN7jVUK8p9QZrySIK8YpVkt8QnY9Oewj4htKGf
AGFXAXhZ1oV1HBuw80HmNlgtnGKUwd5Vn1e2w8CmjvdR0MJ+Tf/F3Q369t3dDQHCYlLMBs5XmEhZ
H+/uivYopzbyFoVVElSlasQwc8BGNusbSjx6ZNcTgY1za0vqk7mWEjapQmkOqrXs0UwUgUB0LY2G
i7hpnFg+3LO+usjUcA3kpkIOoFsPMWnw2pUm+n0YNRe5pFyNGshKqT75Rn+RoCShrqspJsva9cKY
DzbrbAGKztbYqi9yEzST76R0rKGN42bMazTf3XnQtvvObo5yk9o2NNNdMMW6m6ZzX1ijgqFaewnN
6rQVOtkuRo65TRQsDC2/7GrpBT9KMbND88WUxEVlRrd4kKzKtiI7WXnJRbgKAA2clCPwiw2NsIvl
8KwOjOsuUVawEB1EBg9dIG2GEMAx6RYYavsEqMst6kP66zRX3S5Ek+j1C2CnHRam+6rm7ZHLKoIR
Zy0paewGDVgtGEuButxM9dsxLq78sD9tVDqsljCmUarXGvB1gSEqnjIXRtCtZX+EuRQ9enJ+IQLM
qlUNRInnndgOM7L32NZtsrzbdzqqSWFfJIrauk1iIm1zFo4C19w3lmRYLbn0x7LCpB4liNmHNzgP
rFurWdTExBjDTs6Oa29cVIOxrAnxJo/IxaYpGi8magdYOfZlR04eb0Ctb0pO4Qp1YjiLPMScabKy
43ERdID8pVa/xITQ9rW5b0BVizK6KxJCmZ0qQkmhYsE/anrhRnhS3USJdZYxdMLCq5inZde5Tt7u
QyN6LITe4hb9AmSx8STnRq+EC3b/BA9hSW480ZaZd4yimn/RZvu6iNcq6rooyy9occ+Jzz7S1aGb
j56Ja5rBUA02hCfVc4p2iJvd3POrlDfTbaR2a63v18STQ2ZIQxwHa0reIL31K+O4L7VrUdsZ2r1b
Yywu+6TBCS5qNoVnvYyqduQ1AX1YRcMkFP9o6OkkG5y456VviwX+QMexz1vLzE5xMytXVikf9Irw
UkSb55k2HPBvQi7Y1LeyIDCUniRD9znsS72+akd721rE7mhyuJDiDfF616alpLMaHxo1iC6VykRW
3xzJfY+LxehgryXmWAqtpa6f97K8T0yfhBfvGhzStUs8unTn3GyknR/f0e64GQFQjhecVG14piUj
/oMGfVdO3CnxYJyxvncu+mHC7VAc1+OmVIpzT3poYyCCUb7vfUg2ar9UGucxAv8H92uZqxrnhB4h
AwU0XOjSSWmf5GBw2mnaELoa7kspmTcETpvaeTuoGDfYV9hZTiaqswwT2dRESpf3czV6jsMBhom9
iKtby7nsjMANe93VBPgEGYzqXeNfWH6yMu3StfUzCcstv+rOGQ9zu0gM6c97lViHYDyWPeHSaLs1
76jQ1DdoU7C5Y/oTu06EBsw8VbpHcGbgDe22bnD7HHiuY/XWdvaMNzGqOJN9ws/YK28IMI9nTWjM
/fChw0gvaV76iHyj3HnoNU0snZYY7dxcE1u3jkPlqe2ietY4AemImUNiYeyDPXdzdShcosvtTcQs
3JVaB2m0n1yjxvQXvTroT1KpKkyqUbVqlr3ssvHIKNPLwC+s+Rgpl04s3WXDcJPF4yX2aPvRqy2o
teVkm6zpG7+O0QkLO2WMhjiz7dJHDClX9mgRE1S5JuHmM9mmnPKD/oIxkO+Wcr6A2OwmUXeokXI2
DMXNzmOmy+RwNK0Hcpa3Thc820Nz6aTMcgnmhtIw+POsojRxPAKDPYu56cR2jdr6Umik3iugG6N+
nOXaSyyLWaSs/NrcMsueK1m5izvMSxV9FxTGyTDUKxsyEO7BULZLnUmNjlPbvCuckBTXEg2d7tQL
EUuD+5/B6KnCaijTcsPZxwwAXCqwy1BObstJ/ZJkTIJ84qC0QNlybkLs54YWK2cYSJll1TMrbRpX
lmw+JDEvflY/+qE9rf7x2q76z9lE2vnwP4tXouNZ81wO589VI+r3sNPpb/7ZX36lS14OOXTJw1MS
pvOwqsvwsf6WCgTNkn6Nbk2F1Ujjpk3+D78fpXF8eDrEwb9c4CurCKokFErNpAqjFjH+maABKRNC
j0x57SAtxQPp1zZSs0h6Zaono4CBuI107dc2UlO/cHTU/QDXjmYgFP13SEVMgj4UQxJ+U1T4k379
YxGkizqLlbjGMbSzkmXDwUM7JM3Fmdk56JWrOel4ZEmpDchYVlu5NqxtptrUJK1ZRyek3Uu1mxLa
nMwhoJTXhuQ1mBnZwzWpyI4+A2THlLfEaUUwZyicc0LtqjMrlvUeSQ/JxnArxiykMGV0ijiuVbwF
uUVe5lYTbf2htRmBbtos03cV9K8tUVzdofWG9IF5CQonMKwcnkhK4iomPYSsirYihgg5q3lfDjEu
JFrm9MNqkGvgIRXiTrGpMpIkSYIP9Gje5EpUbCPbDM/63CJzCzpogeqxSS4abGQgwjct1Hda3Tt1
iJN93yuDBAasgmuW0SjEkt0rMF3NCOS7Aj84hkck+4UzJ66t8z4NW96WkdY+RgbTOCdK9K3S+P65
MVkQFXaoXqhG1NzgfWXsE+x9zq0EaqJU6wRHi3xctXKfMqWfgqhbuKfzIUMioEEHgpLQSfayRZHJ
zqU2wSPqf66jJKrAWQjVbOkw4m48yiVTe+kYVV3IGN8SmZQk+IH6eXE3qrFOhugArzaoIoZniR75
V5YuWox7m6TeB7kjnwxRRCohNnoUuuR2tKuYpO0evmnbXaHNkK7Zk4i5AIuVr+xGQbvpmMUQL0JJ
yHvbDNSHSOnI/BjtYqaoNXt+L/vVHgRgwjhBf61FknvOUaTF9XGUBhji0sSkaysqQpjvSQGdC9fe
+p64DamcG3pTPftkqFwa+LWDoTLb4uVQEw1qeY29y/IS3y4/S4WY146urmK8fJ1Tw2lEsaiHKGUU
OImViYLAlX7X4WYZYpBeZPoialNJW6IUsJ7h7nsAHqJAskAKYz4uTMQnykxykghDP6PM70ddBLey
muOKl4R9eprgNtwyqEkG3imdSDpoPhZFLCcWDCPUk5Dz12JxOdP4oJ54syE4N5SgKDn7pn8L78R7
YYRmkV4pVO859sx6bUdFozzmopUh5pWMFVZa4jGm5LNqrDJLiF17vIGVY96qKaNCIZjpdl312JhB
v5DKvEnncpjw/5VaSceKFGbxom1gTOvZOEb7OmjNxtV7z6ArG5KrAobL04Bu4673sZx3cWSz8jl1
4BTEjmolkqVYn+lK2m3ywML+JaBwlfFjNE19rqaFsGdyFtcoWxy/WQ7OZL4fjIP97LSlqc7jylEW
tiUMbDn72jqTGzJRWjSHWDuRGX2BALp6cEqjuomiQD7R+3FcMgyrszkB59iY4LvQnkmSXt10pUHf
ZXTZ0TgqBVovWj2apig36Zq8Fr8Vh2GjlJGLq0IU4FwkmY/7cNTmN0NC6HyqxEYAlGNWGjCNnm3S
2icJFkRmdA3uSjAiucsCJpetwazNMmGNZO2jAwGyAEZqLBqiYax3IhbDuemMASwPD3v0hTCGHotp
yVgpuZA3WA0DG6hcxjvc1McnSg6fqXgt02KgnNs1VuDvHHR5gasi2j/vkjy8aFupSfASN5WN3GF1
pFdeSeZs154SD2TWoN4pkpmsSW/JObMW7diBMBPfc1k3bDl4RxJAE8Ud/Sk2tdTLtdykyDbt6D4N
u+w0EqWxqCYf/8jp+03jlePTNDyxsdUKMmUVxxRaYE0D176J80Cj+vDzu5w83TuLFrfbOnDRSJjo
rZJaQ66vuDpw4mRCVU9pU7FfFnUxbCWjZwbU2ZXmrDJYR3OPzON4Jldal3OvRtmDMDTzstYZqJIm
3uDKzzA+ulcyHZP2oqPPLIoyg4zZ6DWROOZIo5fhE5e6eOHQsqq5nF9XkRLF56qdMQCsB41NB7Z7
MSchQVaPgoiM2XnL6R8XMDwxhjDzoe1x1uwoDUt5qDRE9Xm588fQC0mcdQbsjH1s2MsCX/g+8IOX
QCqzeV7J8PTUksYLzSKvG0vE9ioCfw1mws+shTcoFIJ+aoUQdOCI4Y5Q9Fu9LcCKtMET26ZrzXFm
tCKpZiKrMzhWKvNKxSc0F0FVv+/yAmm2NEjxqsU9aaPUHuWq1Qh91sPE6JeFpkXHWgkra6ZmtYZs
QQtw6zstmx4v8ICUUqIuqnY8HqI8XzRJQtS4XOhyTNZREj1YRZwuaK2Oup5RshuJhn+VcYRnOeyq
GxK9u22NSyiZmENNh8FEmRyErCMa06+tbMtjY2Q3CS7cEf6t1doyAUcqlEGwRsWdsEtyvM1JthDj
NuMGqSO2gYbmkselhMZFwKEhu2w7KfsQeG6pnGOCd6YqmUPyTDs+Cd4GvKhDymXK9SNsaPrZQBoT
KG5VnzOibV90Xj4rza+1LdzCg1V25nxsoBOPneav1bqqrrTe0NYQcSweXSEQI9qK/lyEYDCzTLTO
vgEGXcbk8vSz0bLzrUKDuzCHsIGkD1ePOKywLPG3j/rjUSvqY+xWcKtvvXgnDDbyRdSlBW7fxGoM
M91WpMatSQiPZ6jKFczmByfCNKaIN2NYZedqpIstgdTasW3X0dHohPoReI5NPF7eVLcO99m8MlL7
ERWzmk4gSHGqJ8I+TxPZWkd1jYZUz4nlUntJfXK4YeZepaTkpzMBL3Dq1RdJTGalbNT5lZwiJega
Lj/ZysFtQjOVAMwj+gUf8mVoq5F1ksaO+aiENSoTGEzZjHSMfJKKGBh8FfVloVbVY+8r+d6szX6X
ltFg47Ic+SeVUVmM9qwA95NXzFLkWk3NpVr3yahFwwTK91emHkI9NrrEf/aCIkCoImnHUZND5xIJ
T6HbQYDjBZo1zV2rD9bCagubpkuDzVTInn9nyTHQvB+22GKagXQf4+cRMgWMUMjQn64CO7dOGRdp
W6fv4heOt9xjoghHdGygCo35UFGeQYyFKFXa9aUzdAnoStUZ0VzzQxukCR3Kme2X9tIajO56RNa/
tMBsDlhzUGrkVdxB8648wDYIQGnJYFDzV1yq7ljx6SXnJD+WZ2GpEQya5dOMAhtEdio162uxyJug
DLdWJDXZqqnL0tvkZS37cxitplgKJVBOmCcA9Vpdi89iJcfDMsTJFUo1akVsFdXSPmKGMSazTO+r
mnbVAUa1cQqA26kWJsy7oSvvujosoznmMDIYySi8HdQ1LZszIg823CEOLElmNPCyLV5qHY5IECos
zn9lNzpE3oRAXLVPxLWuB8U5SGiFEyL90Hk06DC1ldafSapsHYWVYZ8qfSM/h0yohctdQIAW792J
v6o2zHljxrYXgyA+Gm0pJYHblVWQLvwQ16e5ItHC7G0jab1l1xr62iKeGBJ4rDNZEm1qg8/zqpiM
BKrcg+2R+P6sdzJrZWJKd06YcV7MR6ezwWccob9ECQT+eeoAojqGNBxCW5KfbFs0zTrD65+5NrD/
hOVDSIJqXeDcJ6Ioh21XBzPoxv6L6mfheT0i5hycXEFKEFYjM3w7XIxWVp41Uw5gaeHhQL6QbS4H
qrZoTryAunACCJS23MRAImblHZyuUM/llBJjQdXrSLMycQyx6HOzj6mvhfQisKugRmvKjQORQHXH
tsiWEiEyi9LSeEx03stz7uxGWRSRnB00p8hVDHsI9PDayTw+V/t9Jot8wIw261RXzokSQV6ND6CX
FMHeE7G+0WLbP42RG5QutlMWpgetCp5Vap1NZB1L+leIPDkmBQbidd5ZxEEXjideMhGq5+SOwoYT
MnRu4RUNRFlU7FaDWWZZYr1ca6TnmJ6W+zO43nLmDj4G+H4K6asZiZzxcuBe15D9nNB4qTyKsaqg
wFdG7BlrxXkZdMsbVpiGWv0OpYp0iacPq9hBZZCqbuOwpdJzqivGE96WrBs4ScKZkF9dwYNC7nLf
1dTQOWKIkeLtIccY02IwtZIliK9tgaTc4h2y8EssQUCBY+zyIngmOvkGcFhAc4l5BP4dqgZzglrf
6uh9bqkDMCeInRSvHfJZeGhE5uI2PZLqjoJ1FoHkzvsobs4znemNm2gCIbpXENiaFnJ4Zslglkru
BMBXGHgeTQzzBRWct1BN74E61VnJPJOLrKmhGzqOf6+WSf0w4DpJvEhI6oU/qDEk0cw680el6l26
A+QTRMKuRonEp8Gv+8u+9/ZDUCt3CpzsMyOcFBTqZLjlmUa/tVGJrPVc+EemmcecdzPc2oFwQJqt
0FhlsazeFMTCsEeFGQkioYT0B15v6Ls4XOWJCxpPNRuH8oPBFrMOKUsXMQ9OtUOkMjn/ajTHJfNY
MKwwqgnhG8Umwz0+dGF8Z5cZFiVLSjhzb5q9fqFjoLyxIFbvs8rQFh3S/cH1I7O9LKQcSIydV93g
vmMvEE8Elzx63l1g4q89g8qUsz36IbsLBEPo2KmcnDD1g43uBea+1VWzdAtUBaGrETaxMyStWQdh
oJ2EBAEwoU6j6LQUhT/MDRkjjEBurI2X+GRZwWmuLwZVhFeNaNq9I/kGzrieslcQpDwXVVAtSyQ/
zFXVgVG01OnKjVpnVPVKHG2Mwox2lowYw5VbsIykZr8KG2RNJPwk0UZM4W1NmiQrzy7ANB2p36g5
2coIEfojSfBlY4tFQNrTgpLVh6RkCK25KXnVBXxaIZYyk/15SHjVBSCefVkHhDVA/soxL8sZsi6L
GK//QFN7uM3oAZBedww6dStIL5VEYeCjt1iB6+qLRTPIJLGIIaf2jVQfD3pvIYXVy0Ubx3Z6Lnq9
uzZ5KXMtxwL6V9Nm9VOs98PsP2nORe6lmlhrg0FFI8q+nzNvxx8FwrhxCq0H5JQ8NRQFPwsf/L+d
wfuVUvNDFBE4ko//ikbuszCtL7PfQI1/6i/98UJ/DpZkA1S+ByJfD+oVFP2jNcQBkXjzBOap6F8s
HCdUXWdGO/3AoRFZ6n/9tWV+mdSLmGwh5p5+GJYCfH5zjn7vLPzxF/wtYvvbdT58AaD3tJ6QXh/P
6m+h1Vd2wgcs9ndOwXcr/PMUqECmhmrI6jSmnn5g8nx7CpxJyw5agenO68/bKf9/fwp+F55W3qwA
mFP/mfPw3TLfnAf7C1aOZBFj8f/6892tYH3BPZSkEgOPzOkHJet/y63w3Rd4fp0DbJ7+938QYcyl
+9w5MIimxmGZG/5H58Dm14Rdw9J6+6C/0U2AT7NmTh7On/r+aJK52VXOpP12kSGoffss6F9kg3YH
B663XzN4+HvdA9NpwFrvk6eBLYGsGvzlJxH1t99f+WJg86zZnIO3n7/b98fnZ5KYf+omUJ0vxOMq
TJ0+fnnzC37MKiaM9tuz8bfbABT8QWwOkIv2uRNAQD2+JVPox9tVZir2zV3ALmCYjARVKvbXH6ws
/l5PAZzPaY74qZOgyF90jAQsEjI+fHtKAl3mAdCVr6+Jv91WiL5I/ewzgG8Dhg3yZNDwoxfBVBdN
Vsvwf99+/nYb4VtRoH36UeBeJ49Cgcr89Zt+uBkc5YuK/b3NFOXXX/+9HgUNTjWP76ceBdX8wuif
HUF5uxe+K5Jtmf3ApIZ83y7+u4rk36+MOPS3O/S79uXf6BRU7QvJK/DaJ6/vb3dD6ws6nYm88O8/
Cn+ifvq1m5oFoXh6bbbC5+ob2se//AvvnchvF/jaYUy149RGfPiLEyXkbem3AnP6/398OMGvXdA3
v3zvil4/5+s///oFf/vRHz7r/Vu9/+E6fC4P5WMwvP5i+HqYb55e6BUCdAz78vD0XH0gmWA8w9P+
zwP6DaHl12fgD9evqkPyvsx0ZiYKyPv//5An86eWRch0KN+X+Wex/tmjXR/K4XvfnrcK6NMrh8nh
MTiIH55p7KOotD/7EdtDkjS//I9Dkv/PX44OVQCh7H3R11vSgMHz/gd//cwfHcoURlR8eF/qde03
6OCz3+CI+1R8t/Br5fHZhY8PBJIcnrrn5/zDYU9sp/c/+OunZHd4CoYfP0MTm+rzH3D6FHL47+u8
PkVwyX/Cxdw3T81j8FyWw4fFTW1KLPrsSd83aXR4eF/n9ahJqPoJR31+iA5MUg4fgJtJPPUT1r4I
8c/8sGFpsj3Zp372bFweklD8cnJ4at7Xms4IRb/Jm/Szi1/VNRK0H2ziX8uVz65/81zVv7jPmJqJ
94N9Pfq3OuCzq+8ObOZsWHX54R7/Wnd/dvVVE7H6RwLme1f/6bWzD0f8K2jy2XV5K//qtXkSPmYP
XN1NhavcU/Xt+QdJxUfzJ9z1/1U26e+/npi4Ka+qrM9+rV04ZuXHcoClZQtP5Pev9dd34csSMsPH
O+jr4j/h6f2x2vP9oKdn4fWzaGve/+yvf5ET9KTTpX5f6evqyEMnA/tPX4NDOp2n94W+WfwnnKbd
s0+Ncxg+PBWcmenYf0IxOX8WQfjbI9d/QvH0u5rdt6OfjHE/e+ZnvLGeQrTCH8vsN7T9J9w3syA4
1HVY/eYTvsJYP+H6vr5nIKN/f3d+/YSfUEtteRX87vo/4Rb6l96cr/D/X394/yxZ/5Mf8+P96K+o
z//wQH7Ub/46rvttF/o+hvvRP/vYYk9/41E8H8p//B8AAAD//w==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1104900</xdr:colOff>
      <xdr:row>6</xdr:row>
      <xdr:rowOff>205740</xdr:rowOff>
    </xdr:from>
    <xdr:to>
      <xdr:col>7</xdr:col>
      <xdr:colOff>22860</xdr:colOff>
      <xdr:row>17</xdr:row>
      <xdr:rowOff>45720</xdr:rowOff>
    </xdr:to>
    <xdr:graphicFrame macro="">
      <xdr:nvGraphicFramePr>
        <xdr:cNvPr id="2" name="Chart 1">
          <a:extLst>
            <a:ext uri="{FF2B5EF4-FFF2-40B4-BE49-F238E27FC236}">
              <a16:creationId xmlns:a16="http://schemas.microsoft.com/office/drawing/2014/main" id="{77EA6B7E-D3CB-C9FB-B87A-EDF3EEB55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38100</xdr:rowOff>
    </xdr:from>
    <xdr:to>
      <xdr:col>7</xdr:col>
      <xdr:colOff>53340</xdr:colOff>
      <xdr:row>29</xdr:row>
      <xdr:rowOff>152400</xdr:rowOff>
    </xdr:to>
    <xdr:graphicFrame macro="">
      <xdr:nvGraphicFramePr>
        <xdr:cNvPr id="3" name="Chart 2">
          <a:extLst>
            <a:ext uri="{FF2B5EF4-FFF2-40B4-BE49-F238E27FC236}">
              <a16:creationId xmlns:a16="http://schemas.microsoft.com/office/drawing/2014/main" id="{2123A27E-D591-F34D-0BE2-80E93EC00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xdr:colOff>
      <xdr:row>32</xdr:row>
      <xdr:rowOff>15240</xdr:rowOff>
    </xdr:from>
    <xdr:to>
      <xdr:col>7</xdr:col>
      <xdr:colOff>45720</xdr:colOff>
      <xdr:row>41</xdr:row>
      <xdr:rowOff>83820</xdr:rowOff>
    </xdr:to>
    <xdr:graphicFrame macro="">
      <xdr:nvGraphicFramePr>
        <xdr:cNvPr id="4" name="Chart 3">
          <a:extLst>
            <a:ext uri="{FF2B5EF4-FFF2-40B4-BE49-F238E27FC236}">
              <a16:creationId xmlns:a16="http://schemas.microsoft.com/office/drawing/2014/main" id="{87E095D6-A580-5949-09D4-73BE704AF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xdr:colOff>
      <xdr:row>44</xdr:row>
      <xdr:rowOff>0</xdr:rowOff>
    </xdr:from>
    <xdr:to>
      <xdr:col>11</xdr:col>
      <xdr:colOff>274320</xdr:colOff>
      <xdr:row>59</xdr:row>
      <xdr:rowOff>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F6993B5E-46D2-8BEF-44A6-BA0AF5E31A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547360" y="82753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952500</xdr:colOff>
      <xdr:row>63</xdr:row>
      <xdr:rowOff>121920</xdr:rowOff>
    </xdr:from>
    <xdr:to>
      <xdr:col>10</xdr:col>
      <xdr:colOff>53340</xdr:colOff>
      <xdr:row>79</xdr:row>
      <xdr:rowOff>68580</xdr:rowOff>
    </xdr:to>
    <xdr:graphicFrame macro="">
      <xdr:nvGraphicFramePr>
        <xdr:cNvPr id="6" name="Chart 5">
          <a:extLst>
            <a:ext uri="{FF2B5EF4-FFF2-40B4-BE49-F238E27FC236}">
              <a16:creationId xmlns:a16="http://schemas.microsoft.com/office/drawing/2014/main" id="{DDD2B2D8-A9A9-DCAA-98CD-B5B8C201C8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502920</xdr:colOff>
      <xdr:row>4</xdr:row>
      <xdr:rowOff>137160</xdr:rowOff>
    </xdr:from>
    <xdr:to>
      <xdr:col>11</xdr:col>
      <xdr:colOff>68580</xdr:colOff>
      <xdr:row>17</xdr:row>
      <xdr:rowOff>112395</xdr:rowOff>
    </xdr:to>
    <mc:AlternateContent xmlns:mc="http://schemas.openxmlformats.org/markup-compatibility/2006" xmlns:a14="http://schemas.microsoft.com/office/drawing/2010/main">
      <mc:Choice Requires="a14">
        <xdr:graphicFrame macro="">
          <xdr:nvGraphicFramePr>
            <xdr:cNvPr id="7" name="Sales Rep">
              <a:extLst>
                <a:ext uri="{FF2B5EF4-FFF2-40B4-BE49-F238E27FC236}">
                  <a16:creationId xmlns:a16="http://schemas.microsoft.com/office/drawing/2014/main" id="{272D1A7A-072A-4930-19D5-5FCDA0CC1F5A}"/>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8084820" y="982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160020</xdr:colOff>
      <xdr:row>0</xdr:row>
      <xdr:rowOff>0</xdr:rowOff>
    </xdr:from>
    <xdr:to>
      <xdr:col>19</xdr:col>
      <xdr:colOff>304800</xdr:colOff>
      <xdr:row>38</xdr:row>
      <xdr:rowOff>171450</xdr:rowOff>
    </xdr:to>
    <xdr:sp macro="" textlink="">
      <xdr:nvSpPr>
        <xdr:cNvPr id="2" name="Rectangle: Rounded Corners 1">
          <a:extLst>
            <a:ext uri="{FF2B5EF4-FFF2-40B4-BE49-F238E27FC236}">
              <a16:creationId xmlns:a16="http://schemas.microsoft.com/office/drawing/2014/main" id="{0FEE7BC4-48DB-6E66-832E-C5F79D5012EF}"/>
            </a:ext>
          </a:extLst>
        </xdr:cNvPr>
        <xdr:cNvSpPr/>
      </xdr:nvSpPr>
      <xdr:spPr>
        <a:xfrm>
          <a:off x="160020" y="0"/>
          <a:ext cx="11727180" cy="6927850"/>
        </a:xfrm>
        <a:prstGeom prst="roundRect">
          <a:avLst/>
        </a:prstGeom>
        <a:solidFill>
          <a:schemeClr val="tx1">
            <a:lumMod val="95000"/>
            <a:lumOff val="5000"/>
          </a:schemeClr>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95250</xdr:colOff>
      <xdr:row>4</xdr:row>
      <xdr:rowOff>38100</xdr:rowOff>
    </xdr:from>
    <xdr:to>
      <xdr:col>4</xdr:col>
      <xdr:colOff>571500</xdr:colOff>
      <xdr:row>9</xdr:row>
      <xdr:rowOff>104775</xdr:rowOff>
    </xdr:to>
    <xdr:sp macro="" textlink="">
      <xdr:nvSpPr>
        <xdr:cNvPr id="3" name="Rectangle: Diagonal Corners Snipped 2">
          <a:extLst>
            <a:ext uri="{FF2B5EF4-FFF2-40B4-BE49-F238E27FC236}">
              <a16:creationId xmlns:a16="http://schemas.microsoft.com/office/drawing/2014/main" id="{FCCD8338-B737-5B92-1CE8-1B35CC44DF9F}"/>
            </a:ext>
          </a:extLst>
        </xdr:cNvPr>
        <xdr:cNvSpPr/>
      </xdr:nvSpPr>
      <xdr:spPr>
        <a:xfrm>
          <a:off x="704850" y="219075"/>
          <a:ext cx="2305050" cy="971550"/>
        </a:xfrm>
        <a:prstGeom prst="snip2Diag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2000">
              <a:effectLst>
                <a:outerShdw blurRad="50800" dist="38100" algn="l" rotWithShape="0">
                  <a:prstClr val="black">
                    <a:alpha val="40000"/>
                  </a:prstClr>
                </a:outerShdw>
              </a:effectLst>
            </a:rPr>
            <a:t>Total Orders </a:t>
          </a:r>
        </a:p>
        <a:p>
          <a:pPr algn="l"/>
          <a:r>
            <a:rPr lang="en-IN" sz="2000">
              <a:effectLst>
                <a:outerShdw blurRad="50800" dist="38100" algn="l" rotWithShape="0">
                  <a:prstClr val="black">
                    <a:alpha val="40000"/>
                  </a:prstClr>
                </a:outerShdw>
              </a:effectLst>
            </a:rPr>
            <a:t>            1300 </a:t>
          </a:r>
        </a:p>
      </xdr:txBody>
    </xdr:sp>
    <xdr:clientData/>
  </xdr:twoCellAnchor>
  <xdr:twoCellAnchor>
    <xdr:from>
      <xdr:col>5</xdr:col>
      <xdr:colOff>209548</xdr:colOff>
      <xdr:row>4</xdr:row>
      <xdr:rowOff>60959</xdr:rowOff>
    </xdr:from>
    <xdr:to>
      <xdr:col>9</xdr:col>
      <xdr:colOff>85725</xdr:colOff>
      <xdr:row>9</xdr:row>
      <xdr:rowOff>76200</xdr:rowOff>
    </xdr:to>
    <xdr:sp macro="" textlink="">
      <xdr:nvSpPr>
        <xdr:cNvPr id="4" name="Rectangle: Diagonal Corners Snipped 3">
          <a:extLst>
            <a:ext uri="{FF2B5EF4-FFF2-40B4-BE49-F238E27FC236}">
              <a16:creationId xmlns:a16="http://schemas.microsoft.com/office/drawing/2014/main" id="{5126C714-6501-4ECC-843D-E81309AFDAD0}"/>
            </a:ext>
          </a:extLst>
        </xdr:cNvPr>
        <xdr:cNvSpPr/>
      </xdr:nvSpPr>
      <xdr:spPr>
        <a:xfrm>
          <a:off x="3257548" y="241934"/>
          <a:ext cx="2314577" cy="920116"/>
        </a:xfrm>
        <a:prstGeom prst="snip2Diag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b"/>
        <a:lstStyle/>
        <a:p>
          <a:pPr algn="ctr"/>
          <a:r>
            <a:rPr lang="en-IN" sz="2000">
              <a:effectLst>
                <a:outerShdw blurRad="50800" dist="38100" algn="l" rotWithShape="0">
                  <a:prstClr val="black">
                    <a:alpha val="40000"/>
                  </a:prstClr>
                </a:outerShdw>
              </a:effectLst>
            </a:rPr>
            <a:t>Total Sales </a:t>
          </a:r>
        </a:p>
        <a:p>
          <a:pPr algn="l"/>
          <a:r>
            <a:rPr lang="en-IN" sz="2000">
              <a:effectLst>
                <a:outerShdw blurRad="50800" dist="38100" algn="l" rotWithShape="0">
                  <a:prstClr val="black">
                    <a:alpha val="40000"/>
                  </a:prstClr>
                </a:outerShdw>
              </a:effectLst>
            </a:rPr>
            <a:t>         1585146</a:t>
          </a:r>
        </a:p>
      </xdr:txBody>
    </xdr:sp>
    <xdr:clientData/>
  </xdr:twoCellAnchor>
  <xdr:twoCellAnchor>
    <xdr:from>
      <xdr:col>0</xdr:col>
      <xdr:colOff>340994</xdr:colOff>
      <xdr:row>10</xdr:row>
      <xdr:rowOff>72390</xdr:rowOff>
    </xdr:from>
    <xdr:to>
      <xdr:col>6</xdr:col>
      <xdr:colOff>0</xdr:colOff>
      <xdr:row>21</xdr:row>
      <xdr:rowOff>76200</xdr:rowOff>
    </xdr:to>
    <xdr:graphicFrame macro="">
      <xdr:nvGraphicFramePr>
        <xdr:cNvPr id="5" name="Chart 4">
          <a:extLst>
            <a:ext uri="{FF2B5EF4-FFF2-40B4-BE49-F238E27FC236}">
              <a16:creationId xmlns:a16="http://schemas.microsoft.com/office/drawing/2014/main" id="{3D3951A6-792F-4D71-8140-801764820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219075</xdr:colOff>
      <xdr:row>10</xdr:row>
      <xdr:rowOff>80009</xdr:rowOff>
    </xdr:from>
    <xdr:to>
      <xdr:col>11</xdr:col>
      <xdr:colOff>142875</xdr:colOff>
      <xdr:row>21</xdr:row>
      <xdr:rowOff>76199</xdr:rowOff>
    </xdr:to>
    <xdr:graphicFrame macro="">
      <xdr:nvGraphicFramePr>
        <xdr:cNvPr id="6" name="Chart 5">
          <a:extLst>
            <a:ext uri="{FF2B5EF4-FFF2-40B4-BE49-F238E27FC236}">
              <a16:creationId xmlns:a16="http://schemas.microsoft.com/office/drawing/2014/main" id="{73ED169C-D322-44A9-94EB-BA8EA291B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380999</xdr:colOff>
      <xdr:row>10</xdr:row>
      <xdr:rowOff>76200</xdr:rowOff>
    </xdr:from>
    <xdr:to>
      <xdr:col>18</xdr:col>
      <xdr:colOff>371475</xdr:colOff>
      <xdr:row>21</xdr:row>
      <xdr:rowOff>104775</xdr:rowOff>
    </xdr:to>
    <xdr:graphicFrame macro="">
      <xdr:nvGraphicFramePr>
        <xdr:cNvPr id="7" name="Chart 6">
          <a:extLst>
            <a:ext uri="{FF2B5EF4-FFF2-40B4-BE49-F238E27FC236}">
              <a16:creationId xmlns:a16="http://schemas.microsoft.com/office/drawing/2014/main" id="{AD5890A1-F604-4B02-9595-5F2D9B1C7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xdr:colOff>
      <xdr:row>22</xdr:row>
      <xdr:rowOff>123826</xdr:rowOff>
    </xdr:from>
    <xdr:to>
      <xdr:col>8</xdr:col>
      <xdr:colOff>238125</xdr:colOff>
      <xdr:row>37</xdr:row>
      <xdr:rowOff>38101</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81261283-8C3C-404B-A774-3AB31A9350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19125" y="4147186"/>
              <a:ext cx="4495800" cy="2657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571501</xdr:colOff>
      <xdr:row>22</xdr:row>
      <xdr:rowOff>114300</xdr:rowOff>
    </xdr:from>
    <xdr:to>
      <xdr:col>18</xdr:col>
      <xdr:colOff>400051</xdr:colOff>
      <xdr:row>37</xdr:row>
      <xdr:rowOff>66675</xdr:rowOff>
    </xdr:to>
    <xdr:graphicFrame macro="">
      <xdr:nvGraphicFramePr>
        <xdr:cNvPr id="9" name="Chart 8">
          <a:extLst>
            <a:ext uri="{FF2B5EF4-FFF2-40B4-BE49-F238E27FC236}">
              <a16:creationId xmlns:a16="http://schemas.microsoft.com/office/drawing/2014/main" id="{A5CFABE7-0285-4AC6-8ABA-BCE1B662C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285750</xdr:colOff>
      <xdr:row>4</xdr:row>
      <xdr:rowOff>49529</xdr:rowOff>
    </xdr:from>
    <xdr:to>
      <xdr:col>13</xdr:col>
      <xdr:colOff>428624</xdr:colOff>
      <xdr:row>9</xdr:row>
      <xdr:rowOff>85725</xdr:rowOff>
    </xdr:to>
    <xdr:sp macro="" textlink="">
      <xdr:nvSpPr>
        <xdr:cNvPr id="10" name="Rectangle: Diagonal Corners Snipped 9">
          <a:extLst>
            <a:ext uri="{FF2B5EF4-FFF2-40B4-BE49-F238E27FC236}">
              <a16:creationId xmlns:a16="http://schemas.microsoft.com/office/drawing/2014/main" id="{25FA2235-288E-41EA-B34B-E0343C37AAA6}"/>
            </a:ext>
          </a:extLst>
        </xdr:cNvPr>
        <xdr:cNvSpPr/>
      </xdr:nvSpPr>
      <xdr:spPr>
        <a:xfrm>
          <a:off x="5772150" y="230504"/>
          <a:ext cx="2581274" cy="941071"/>
        </a:xfrm>
        <a:prstGeom prst="snip2Diag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2000">
              <a:effectLst>
                <a:outerShdw blurRad="50800" dist="38100" algn="l" rotWithShape="0">
                  <a:prstClr val="black">
                    <a:alpha val="40000"/>
                  </a:prstClr>
                </a:outerShdw>
              </a:effectLst>
            </a:rPr>
            <a:t>Total Comission</a:t>
          </a:r>
        </a:p>
        <a:p>
          <a:pPr algn="ctr"/>
          <a:r>
            <a:rPr lang="en-IN" sz="2000">
              <a:effectLst>
                <a:outerShdw blurRad="50800" dist="38100" algn="l" rotWithShape="0">
                  <a:prstClr val="black">
                    <a:alpha val="40000"/>
                  </a:prstClr>
                </a:outerShdw>
              </a:effectLst>
            </a:rPr>
            <a:t>100160</a:t>
          </a:r>
        </a:p>
      </xdr:txBody>
    </xdr:sp>
    <xdr:clientData/>
  </xdr:twoCellAnchor>
  <xdr:twoCellAnchor>
    <xdr:from>
      <xdr:col>14</xdr:col>
      <xdr:colOff>38098</xdr:colOff>
      <xdr:row>4</xdr:row>
      <xdr:rowOff>47624</xdr:rowOff>
    </xdr:from>
    <xdr:to>
      <xdr:col>18</xdr:col>
      <xdr:colOff>104775</xdr:colOff>
      <xdr:row>9</xdr:row>
      <xdr:rowOff>123824</xdr:rowOff>
    </xdr:to>
    <xdr:sp macro="" textlink="">
      <xdr:nvSpPr>
        <xdr:cNvPr id="11" name="Rectangle: Diagonal Corners Snipped 10">
          <a:extLst>
            <a:ext uri="{FF2B5EF4-FFF2-40B4-BE49-F238E27FC236}">
              <a16:creationId xmlns:a16="http://schemas.microsoft.com/office/drawing/2014/main" id="{37CEE20E-5F07-497B-9BFC-B03A426B1DA7}"/>
            </a:ext>
          </a:extLst>
        </xdr:cNvPr>
        <xdr:cNvSpPr/>
      </xdr:nvSpPr>
      <xdr:spPr>
        <a:xfrm>
          <a:off x="8572498" y="228599"/>
          <a:ext cx="2505077" cy="981075"/>
        </a:xfrm>
        <a:prstGeom prst="snip2DiagRect">
          <a:avLst>
            <a:gd name="adj1" fmla="val 4921"/>
            <a:gd name="adj2" fmla="val 16667"/>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IN" sz="2000">
              <a:effectLst>
                <a:outerShdw blurRad="50800" dist="38100" algn="l" rotWithShape="0">
                  <a:prstClr val="black">
                    <a:alpha val="40000"/>
                  </a:prstClr>
                </a:outerShdw>
              </a:effectLst>
            </a:rPr>
            <a:t>Net Sales </a:t>
          </a:r>
        </a:p>
        <a:p>
          <a:pPr algn="ctr"/>
          <a:r>
            <a:rPr lang="en-IN" sz="2000">
              <a:effectLst>
                <a:outerShdw blurRad="50800" dist="38100" algn="l" rotWithShape="0">
                  <a:prstClr val="black">
                    <a:alpha val="40000"/>
                  </a:prstClr>
                </a:outerShdw>
              </a:effectLst>
            </a:rPr>
            <a:t> 1484985</a:t>
          </a:r>
        </a:p>
      </xdr:txBody>
    </xdr:sp>
    <xdr:clientData/>
  </xdr:twoCellAnchor>
  <xdr:twoCellAnchor>
    <xdr:from>
      <xdr:col>3</xdr:col>
      <xdr:colOff>317500</xdr:colOff>
      <xdr:row>0</xdr:row>
      <xdr:rowOff>165100</xdr:rowOff>
    </xdr:from>
    <xdr:to>
      <xdr:col>16</xdr:col>
      <xdr:colOff>127000</xdr:colOff>
      <xdr:row>3</xdr:row>
      <xdr:rowOff>63500</xdr:rowOff>
    </xdr:to>
    <xdr:sp macro="" textlink="">
      <xdr:nvSpPr>
        <xdr:cNvPr id="13" name="TextBox 12">
          <a:extLst>
            <a:ext uri="{FF2B5EF4-FFF2-40B4-BE49-F238E27FC236}">
              <a16:creationId xmlns:a16="http://schemas.microsoft.com/office/drawing/2014/main" id="{FB4F5329-2749-2F03-7F6E-C15DB84291A6}"/>
            </a:ext>
          </a:extLst>
        </xdr:cNvPr>
        <xdr:cNvSpPr txBox="1"/>
      </xdr:nvSpPr>
      <xdr:spPr>
        <a:xfrm>
          <a:off x="2146300" y="165100"/>
          <a:ext cx="7734300" cy="431800"/>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cap="none" spc="0">
              <a:ln w="10160">
                <a:solidFill>
                  <a:schemeClr val="bg1"/>
                </a:solidFill>
                <a:prstDash val="solid"/>
              </a:ln>
              <a:solidFill>
                <a:srgbClr val="FFFFFF"/>
              </a:solidFill>
              <a:effectLst>
                <a:outerShdw blurRad="38100" dist="22860" dir="5400000" algn="tl" rotWithShape="0">
                  <a:srgbClr val="000000">
                    <a:alpha val="30000"/>
                  </a:srgbClr>
                </a:outerShdw>
              </a:effectLst>
            </a:rPr>
            <a:t>                         Sales Report - July</a:t>
          </a:r>
          <a:r>
            <a:rPr lang="en-IN" sz="2800" b="1" cap="none" spc="0" baseline="0">
              <a:ln w="10160">
                <a:solidFill>
                  <a:schemeClr val="bg1"/>
                </a:solidFill>
                <a:prstDash val="solid"/>
              </a:ln>
              <a:solidFill>
                <a:srgbClr val="FFFFFF"/>
              </a:solidFill>
              <a:effectLst>
                <a:outerShdw blurRad="38100" dist="22860" dir="5400000" algn="tl" rotWithShape="0">
                  <a:srgbClr val="000000">
                    <a:alpha val="30000"/>
                  </a:srgbClr>
                </a:outerShdw>
              </a:effectLst>
            </a:rPr>
            <a:t> 2018</a:t>
          </a:r>
          <a:endParaRPr lang="en-IN" sz="2800" b="1" cap="none" spc="0">
            <a:ln w="10160">
              <a:solidFill>
                <a:schemeClr val="bg1"/>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6.546965162037" createdVersion="8" refreshedVersion="8" minRefreshableVersion="3" recordCount="1300" xr:uid="{458A625D-C52D-48A6-B0F3-D0FA666D5847}">
  <cacheSource type="worksheet">
    <worksheetSource name="data"/>
  </cacheSource>
  <cacheFields count="11">
    <cacheField name="Order ID.1" numFmtId="0">
      <sharedItems count="1300">
        <s v="Order ID = 1"/>
        <s v="Order ID = 2"/>
        <s v="Order ID = 3"/>
        <s v="Order ID = 4"/>
        <s v="Order ID = 5"/>
        <s v="Order ID = 6"/>
        <s v="Order ID = 7"/>
        <s v="Order ID = 8"/>
        <s v="Order ID = 9"/>
        <s v="Order ID = 10"/>
        <s v="Order ID = 11"/>
        <s v="Order ID = 12"/>
        <s v="Order ID = 13"/>
        <s v="Order ID = 14"/>
        <s v="Order ID = 15"/>
        <s v="Order ID = 16"/>
        <s v="Order ID = 17"/>
        <s v="Order ID = 18"/>
        <s v="Order ID = 19"/>
        <s v="Order ID = 20"/>
        <s v="Order ID = 21"/>
        <s v="Order ID = 22"/>
        <s v="Order ID = 23"/>
        <s v="Order ID = 24"/>
        <s v="Order ID = 25"/>
        <s v="Order ID = 26"/>
        <s v="Order ID = 27"/>
        <s v="Order ID = 28"/>
        <s v="Order ID = 29"/>
        <s v="Order ID = 30"/>
        <s v="Order ID = 31"/>
        <s v="Order ID = 32"/>
        <s v="Order ID = 33"/>
        <s v="Order ID = 34"/>
        <s v="Order ID = 35"/>
        <s v="Order ID = 36"/>
        <s v="Order ID = 37"/>
        <s v="Order ID = 38"/>
        <s v="Order ID = 39"/>
        <s v="Order ID = 40"/>
        <s v="Order ID = 41"/>
        <s v="Order ID = 42"/>
        <s v="Order ID = 43"/>
        <s v="Order ID = 44"/>
        <s v="Order ID = 45"/>
        <s v="Order ID = 46"/>
        <s v="Order ID = 47"/>
        <s v="Order ID = 48"/>
        <s v="Order ID = 49"/>
        <s v="Order ID = 50"/>
        <s v="Order ID = 51"/>
        <s v="Order ID = 52"/>
        <s v="Order ID = 53"/>
        <s v="Order ID = 54"/>
        <s v="Order ID = 55"/>
        <s v="Order ID = 56"/>
        <s v="Order ID = 57"/>
        <s v="Order ID = 58"/>
        <s v="Order ID = 59"/>
        <s v="Order ID = 60"/>
        <s v="Order ID = 61"/>
        <s v="Order ID = 62"/>
        <s v="Order ID = 63"/>
        <s v="Order ID = 64"/>
        <s v="Order ID = 65"/>
        <s v="Order ID = 66"/>
        <s v="Order ID = 67"/>
        <s v="Order ID = 68"/>
        <s v="Order ID = 69"/>
        <s v="Order ID = 70"/>
        <s v="Order ID = 71"/>
        <s v="Order ID = 72"/>
        <s v="Order ID = 73"/>
        <s v="Order ID = 74"/>
        <s v="Order ID = 75"/>
        <s v="Order ID = 76"/>
        <s v="Order ID = 77"/>
        <s v="Order ID = 78"/>
        <s v="Order ID = 79"/>
        <s v="Order ID = 80"/>
        <s v="Order ID = 81"/>
        <s v="Order ID = 82"/>
        <s v="Order ID = 83"/>
        <s v="Order ID = 84"/>
        <s v="Order ID = 85"/>
        <s v="Order ID = 86"/>
        <s v="Order ID = 87"/>
        <s v="Order ID = 88"/>
        <s v="Order ID = 89"/>
        <s v="Order ID = 90"/>
        <s v="Order ID = 91"/>
        <s v="Order ID = 92"/>
        <s v="Order ID = 93"/>
        <s v="Order ID = 94"/>
        <s v="Order ID = 95"/>
        <s v="Order ID = 96"/>
        <s v="Order ID = 97"/>
        <s v="Order ID = 98"/>
        <s v="Order ID = 99"/>
        <s v="Order ID = 100"/>
        <s v="Order ID = 101"/>
        <s v="Order ID = 102"/>
        <s v="Order ID = 103"/>
        <s v="Order ID = 104"/>
        <s v="Order ID = 105"/>
        <s v="Order ID = 106"/>
        <s v="Order ID = 107"/>
        <s v="Order ID = 108"/>
        <s v="Order ID = 109"/>
        <s v="Order ID = 110"/>
        <s v="Order ID = 111"/>
        <s v="Order ID = 112"/>
        <s v="Order ID = 113"/>
        <s v="Order ID = 114"/>
        <s v="Order ID = 115"/>
        <s v="Order ID = 116"/>
        <s v="Order ID = 117"/>
        <s v="Order ID = 118"/>
        <s v="Order ID = 119"/>
        <s v="Order ID = 120"/>
        <s v="Order ID = 121"/>
        <s v="Order ID = 122"/>
        <s v="Order ID = 123"/>
        <s v="Order ID = 124"/>
        <s v="Order ID = 125"/>
        <s v="Order ID = 126"/>
        <s v="Order ID = 127"/>
        <s v="Order ID = 128"/>
        <s v="Order ID = 129"/>
        <s v="Order ID = 130"/>
        <s v="Order ID = 131"/>
        <s v="Order ID = 132"/>
        <s v="Order ID = 133"/>
        <s v="Order ID = 134"/>
        <s v="Order ID = 135"/>
        <s v="Order ID = 136"/>
        <s v="Order ID = 137"/>
        <s v="Order ID = 138"/>
        <s v="Order ID = 139"/>
        <s v="Order ID = 140"/>
        <s v="Order ID = 141"/>
        <s v="Order ID = 142"/>
        <s v="Order ID = 143"/>
        <s v="Order ID = 144"/>
        <s v="Order ID = 145"/>
        <s v="Order ID = 146"/>
        <s v="Order ID = 147"/>
        <s v="Order ID = 148"/>
        <s v="Order ID = 149"/>
        <s v="Order ID = 150"/>
        <s v="Order ID = 151"/>
        <s v="Order ID = 152"/>
        <s v="Order ID = 153"/>
        <s v="Order ID = 154"/>
        <s v="Order ID = 155"/>
        <s v="Order ID = 156"/>
        <s v="Order ID = 157"/>
        <s v="Order ID = 158"/>
        <s v="Order ID = 159"/>
        <s v="Order ID = 160"/>
        <s v="Order ID = 161"/>
        <s v="Order ID = 162"/>
        <s v="Order ID = 163"/>
        <s v="Order ID = 164"/>
        <s v="Order ID = 165"/>
        <s v="Order ID = 166"/>
        <s v="Order ID = 167"/>
        <s v="Order ID = 168"/>
        <s v="Order ID = 169"/>
        <s v="Order ID = 170"/>
        <s v="Order ID = 171"/>
        <s v="Order ID = 172"/>
        <s v="Order ID = 173"/>
        <s v="Order ID = 174"/>
        <s v="Order ID = 175"/>
        <s v="Order ID = 176"/>
        <s v="Order ID = 177"/>
        <s v="Order ID = 178"/>
        <s v="Order ID = 179"/>
        <s v="Order ID = 180"/>
        <s v="Order ID = 181"/>
        <s v="Order ID = 182"/>
        <s v="Order ID = 183"/>
        <s v="Order ID = 184"/>
        <s v="Order ID = 185"/>
        <s v="Order ID = 186"/>
        <s v="Order ID = 187"/>
        <s v="Order ID = 188"/>
        <s v="Order ID = 189"/>
        <s v="Order ID = 190"/>
        <s v="Order ID = 191"/>
        <s v="Order ID = 192"/>
        <s v="Order ID = 193"/>
        <s v="Order ID = 194"/>
        <s v="Order ID = 195"/>
        <s v="Order ID = 196"/>
        <s v="Order ID = 197"/>
        <s v="Order ID = 198"/>
        <s v="Order ID = 199"/>
        <s v="Order ID = 200"/>
        <s v="Order ID = 201"/>
        <s v="Order ID = 202"/>
        <s v="Order ID = 203"/>
        <s v="Order ID = 204"/>
        <s v="Order ID = 205"/>
        <s v="Order ID = 206"/>
        <s v="Order ID = 207"/>
        <s v="Order ID = 208"/>
        <s v="Order ID = 209"/>
        <s v="Order ID = 210"/>
        <s v="Order ID = 211"/>
        <s v="Order ID = 212"/>
        <s v="Order ID = 213"/>
        <s v="Order ID = 214"/>
        <s v="Order ID = 215"/>
        <s v="Order ID = 216"/>
        <s v="Order ID = 217"/>
        <s v="Order ID = 218"/>
        <s v="Order ID = 219"/>
        <s v="Order ID = 220"/>
        <s v="Order ID = 221"/>
        <s v="Order ID = 222"/>
        <s v="Order ID = 223"/>
        <s v="Order ID = 224"/>
        <s v="Order ID = 225"/>
        <s v="Order ID = 226"/>
        <s v="Order ID = 227"/>
        <s v="Order ID = 228"/>
        <s v="Order ID = 229"/>
        <s v="Order ID = 230"/>
        <s v="Order ID = 231"/>
        <s v="Order ID = 232"/>
        <s v="Order ID = 233"/>
        <s v="Order ID = 234"/>
        <s v="Order ID = 235"/>
        <s v="Order ID = 236"/>
        <s v="Order ID = 237"/>
        <s v="Order ID = 238"/>
        <s v="Order ID = 239"/>
        <s v="Order ID = 240"/>
        <s v="Order ID = 241"/>
        <s v="Order ID = 242"/>
        <s v="Order ID = 243"/>
        <s v="Order ID = 244"/>
        <s v="Order ID = 245"/>
        <s v="Order ID = 246"/>
        <s v="Order ID = 247"/>
        <s v="Order ID = 248"/>
        <s v="Order ID = 249"/>
        <s v="Order ID = 250"/>
        <s v="Order ID = 251"/>
        <s v="Order ID = 252"/>
        <s v="Order ID = 253"/>
        <s v="Order ID = 254"/>
        <s v="Order ID = 255"/>
        <s v="Order ID = 256"/>
        <s v="Order ID = 257"/>
        <s v="Order ID = 258"/>
        <s v="Order ID = 259"/>
        <s v="Order ID = 260"/>
        <s v="Order ID = 261"/>
        <s v="Order ID = 262"/>
        <s v="Order ID = 263"/>
        <s v="Order ID = 264"/>
        <s v="Order ID = 265"/>
        <s v="Order ID = 266"/>
        <s v="Order ID = 267"/>
        <s v="Order ID = 268"/>
        <s v="Order ID = 269"/>
        <s v="Order ID = 270"/>
        <s v="Order ID = 271"/>
        <s v="Order ID = 272"/>
        <s v="Order ID = 273"/>
        <s v="Order ID = 274"/>
        <s v="Order ID = 275"/>
        <s v="Order ID = 276"/>
        <s v="Order ID = 277"/>
        <s v="Order ID = 278"/>
        <s v="Order ID = 279"/>
        <s v="Order ID = 280"/>
        <s v="Order ID = 281"/>
        <s v="Order ID = 282"/>
        <s v="Order ID = 283"/>
        <s v="Order ID = 284"/>
        <s v="Order ID = 285"/>
        <s v="Order ID = 286"/>
        <s v="Order ID = 287"/>
        <s v="Order ID = 288"/>
        <s v="Order ID = 289"/>
        <s v="Order ID = 290"/>
        <s v="Order ID = 291"/>
        <s v="Order ID = 292"/>
        <s v="Order ID = 293"/>
        <s v="Order ID = 294"/>
        <s v="Order ID = 295"/>
        <s v="Order ID = 296"/>
        <s v="Order ID = 297"/>
        <s v="Order ID = 298"/>
        <s v="Order ID = 299"/>
        <s v="Order ID = 300"/>
        <s v="Order ID = 301"/>
        <s v="Order ID = 302"/>
        <s v="Order ID = 303"/>
        <s v="Order ID = 304"/>
        <s v="Order ID = 305"/>
        <s v="Order ID = 306"/>
        <s v="Order ID = 307"/>
        <s v="Order ID = 308"/>
        <s v="Order ID = 309"/>
        <s v="Order ID = 310"/>
        <s v="Order ID = 311"/>
        <s v="Order ID = 312"/>
        <s v="Order ID = 313"/>
        <s v="Order ID = 314"/>
        <s v="Order ID = 315"/>
        <s v="Order ID = 316"/>
        <s v="Order ID = 317"/>
        <s v="Order ID = 318"/>
        <s v="Order ID = 319"/>
        <s v="Order ID = 320"/>
        <s v="Order ID = 321"/>
        <s v="Order ID = 322"/>
        <s v="Order ID = 323"/>
        <s v="Order ID = 324"/>
        <s v="Order ID = 325"/>
        <s v="Order ID = 326"/>
        <s v="Order ID = 327"/>
        <s v="Order ID = 328"/>
        <s v="Order ID = 329"/>
        <s v="Order ID = 330"/>
        <s v="Order ID = 331"/>
        <s v="Order ID = 332"/>
        <s v="Order ID = 333"/>
        <s v="Order ID = 334"/>
        <s v="Order ID = 335"/>
        <s v="Order ID = 336"/>
        <s v="Order ID = 337"/>
        <s v="Order ID = 338"/>
        <s v="Order ID = 339"/>
        <s v="Order ID = 340"/>
        <s v="Order ID = 341"/>
        <s v="Order ID = 342"/>
        <s v="Order ID = 343"/>
        <s v="Order ID = 344"/>
        <s v="Order ID = 345"/>
        <s v="Order ID = 346"/>
        <s v="Order ID = 347"/>
        <s v="Order ID = 348"/>
        <s v="Order ID = 349"/>
        <s v="Order ID = 350"/>
        <s v="Order ID = 351"/>
        <s v="Order ID = 352"/>
        <s v="Order ID = 353"/>
        <s v="Order ID = 354"/>
        <s v="Order ID = 355"/>
        <s v="Order ID = 356"/>
        <s v="Order ID = 357"/>
        <s v="Order ID = 358"/>
        <s v="Order ID = 359"/>
        <s v="Order ID = 360"/>
        <s v="Order ID = 361"/>
        <s v="Order ID = 362"/>
        <s v="Order ID = 363"/>
        <s v="Order ID = 364"/>
        <s v="Order ID = 365"/>
        <s v="Order ID = 366"/>
        <s v="Order ID = 367"/>
        <s v="Order ID = 368"/>
        <s v="Order ID = 369"/>
        <s v="Order ID = 370"/>
        <s v="Order ID = 371"/>
        <s v="Order ID = 372"/>
        <s v="Order ID = 373"/>
        <s v="Order ID = 374"/>
        <s v="Order ID = 375"/>
        <s v="Order ID = 376"/>
        <s v="Order ID = 377"/>
        <s v="Order ID = 378"/>
        <s v="Order ID = 379"/>
        <s v="Order ID = 380"/>
        <s v="Order ID = 381"/>
        <s v="Order ID = 382"/>
        <s v="Order ID = 383"/>
        <s v="Order ID = 384"/>
        <s v="Order ID = 385"/>
        <s v="Order ID = 386"/>
        <s v="Order ID = 387"/>
        <s v="Order ID = 388"/>
        <s v="Order ID = 389"/>
        <s v="Order ID = 390"/>
        <s v="Order ID = 391"/>
        <s v="Order ID = 392"/>
        <s v="Order ID = 393"/>
        <s v="Order ID = 394"/>
        <s v="Order ID = 395"/>
        <s v="Order ID = 396"/>
        <s v="Order ID = 397"/>
        <s v="Order ID = 398"/>
        <s v="Order ID = 399"/>
        <s v="Order ID = 400"/>
        <s v="Order ID = 401"/>
        <s v="Order ID = 402"/>
        <s v="Order ID = 403"/>
        <s v="Order ID = 404"/>
        <s v="Order ID = 405"/>
        <s v="Order ID = 406"/>
        <s v="Order ID = 407"/>
        <s v="Order ID = 408"/>
        <s v="Order ID = 409"/>
        <s v="Order ID = 410"/>
        <s v="Order ID = 411"/>
        <s v="Order ID = 412"/>
        <s v="Order ID = 413"/>
        <s v="Order ID = 414"/>
        <s v="Order ID = 415"/>
        <s v="Order ID = 416"/>
        <s v="Order ID = 417"/>
        <s v="Order ID = 418"/>
        <s v="Order ID = 419"/>
        <s v="Order ID = 420"/>
        <s v="Order ID = 421"/>
        <s v="Order ID = 422"/>
        <s v="Order ID = 423"/>
        <s v="Order ID = 424"/>
        <s v="Order ID = 425"/>
        <s v="Order ID = 426"/>
        <s v="Order ID = 427"/>
        <s v="Order ID = 428"/>
        <s v="Order ID = 429"/>
        <s v="Order ID = 430"/>
        <s v="Order ID = 431"/>
        <s v="Order ID = 432"/>
        <s v="Order ID = 433"/>
        <s v="Order ID = 434"/>
        <s v="Order ID = 435"/>
        <s v="Order ID = 436"/>
        <s v="Order ID = 437"/>
        <s v="Order ID = 438"/>
        <s v="Order ID = 439"/>
        <s v="Order ID = 440"/>
        <s v="Order ID = 441"/>
        <s v="Order ID = 442"/>
        <s v="Order ID = 443"/>
        <s v="Order ID = 444"/>
        <s v="Order ID = 445"/>
        <s v="Order ID = 446"/>
        <s v="Order ID = 447"/>
        <s v="Order ID = 448"/>
        <s v="Order ID = 449"/>
        <s v="Order ID = 450"/>
        <s v="Order ID = 451"/>
        <s v="Order ID = 452"/>
        <s v="Order ID = 453"/>
        <s v="Order ID = 454"/>
        <s v="Order ID = 455"/>
        <s v="Order ID = 456"/>
        <s v="Order ID = 457"/>
        <s v="Order ID = 458"/>
        <s v="Order ID = 459"/>
        <s v="Order ID = 460"/>
        <s v="Order ID = 461"/>
        <s v="Order ID = 462"/>
        <s v="Order ID = 463"/>
        <s v="Order ID = 464"/>
        <s v="Order ID = 465"/>
        <s v="Order ID = 466"/>
        <s v="Order ID = 467"/>
        <s v="Order ID = 468"/>
        <s v="Order ID = 469"/>
        <s v="Order ID = 470"/>
        <s v="Order ID = 471"/>
        <s v="Order ID = 472"/>
        <s v="Order ID = 473"/>
        <s v="Order ID = 474"/>
        <s v="Order ID = 475"/>
        <s v="Order ID = 476"/>
        <s v="Order ID = 477"/>
        <s v="Order ID = 478"/>
        <s v="Order ID = 479"/>
        <s v="Order ID = 480"/>
        <s v="Order ID = 481"/>
        <s v="Order ID = 482"/>
        <s v="Order ID = 483"/>
        <s v="Order ID = 484"/>
        <s v="Order ID = 485"/>
        <s v="Order ID = 486"/>
        <s v="Order ID = 487"/>
        <s v="Order ID = 488"/>
        <s v="Order ID = 489"/>
        <s v="Order ID = 490"/>
        <s v="Order ID = 491"/>
        <s v="Order ID = 492"/>
        <s v="Order ID = 493"/>
        <s v="Order ID = 494"/>
        <s v="Order ID = 495"/>
        <s v="Order ID = 496"/>
        <s v="Order ID = 497"/>
        <s v="Order ID = 498"/>
        <s v="Order ID = 499"/>
        <s v="Order ID = 500"/>
        <s v="Order ID = 501"/>
        <s v="Order ID = 502"/>
        <s v="Order ID = 503"/>
        <s v="Order ID = 504"/>
        <s v="Order ID = 505"/>
        <s v="Order ID = 506"/>
        <s v="Order ID = 507"/>
        <s v="Order ID = 508"/>
        <s v="Order ID = 509"/>
        <s v="Order ID = 510"/>
        <s v="Order ID = 511"/>
        <s v="Order ID = 512"/>
        <s v="Order ID = 513"/>
        <s v="Order ID = 514"/>
        <s v="Order ID = 515"/>
        <s v="Order ID = 516"/>
        <s v="Order ID = 517"/>
        <s v="Order ID = 518"/>
        <s v="Order ID = 519"/>
        <s v="Order ID = 520"/>
        <s v="Order ID = 521"/>
        <s v="Order ID = 522"/>
        <s v="Order ID = 523"/>
        <s v="Order ID = 524"/>
        <s v="Order ID = 525"/>
        <s v="Order ID = 526"/>
        <s v="Order ID = 527"/>
        <s v="Order ID = 528"/>
        <s v="Order ID = 529"/>
        <s v="Order ID = 530"/>
        <s v="Order ID = 531"/>
        <s v="Order ID = 532"/>
        <s v="Order ID = 533"/>
        <s v="Order ID = 534"/>
        <s v="Order ID = 535"/>
        <s v="Order ID = 536"/>
        <s v="Order ID = 537"/>
        <s v="Order ID = 538"/>
        <s v="Order ID = 539"/>
        <s v="Order ID = 540"/>
        <s v="Order ID = 541"/>
        <s v="Order ID = 542"/>
        <s v="Order ID = 543"/>
        <s v="Order ID = 544"/>
        <s v="Order ID = 545"/>
        <s v="Order ID = 546"/>
        <s v="Order ID = 547"/>
        <s v="Order ID = 548"/>
        <s v="Order ID = 549"/>
        <s v="Order ID = 550"/>
        <s v="Order ID = 551"/>
        <s v="Order ID = 552"/>
        <s v="Order ID = 553"/>
        <s v="Order ID = 554"/>
        <s v="Order ID = 555"/>
        <s v="Order ID = 556"/>
        <s v="Order ID = 557"/>
        <s v="Order ID = 558"/>
        <s v="Order ID = 559"/>
        <s v="Order ID = 560"/>
        <s v="Order ID = 561"/>
        <s v="Order ID = 562"/>
        <s v="Order ID = 563"/>
        <s v="Order ID = 564"/>
        <s v="Order ID = 565"/>
        <s v="Order ID = 566"/>
        <s v="Order ID = 567"/>
        <s v="Order ID = 568"/>
        <s v="Order ID = 569"/>
        <s v="Order ID = 570"/>
        <s v="Order ID = 571"/>
        <s v="Order ID = 572"/>
        <s v="Order ID = 573"/>
        <s v="Order ID = 574"/>
        <s v="Order ID = 575"/>
        <s v="Order ID = 576"/>
        <s v="Order ID = 577"/>
        <s v="Order ID = 578"/>
        <s v="Order ID = 579"/>
        <s v="Order ID = 580"/>
        <s v="Order ID = 581"/>
        <s v="Order ID = 582"/>
        <s v="Order ID = 583"/>
        <s v="Order ID = 584"/>
        <s v="Order ID = 585"/>
        <s v="Order ID = 586"/>
        <s v="Order ID = 587"/>
        <s v="Order ID = 588"/>
        <s v="Order ID = 589"/>
        <s v="Order ID = 590"/>
        <s v="Order ID = 591"/>
        <s v="Order ID = 592"/>
        <s v="Order ID = 593"/>
        <s v="Order ID = 594"/>
        <s v="Order ID = 595"/>
        <s v="Order ID = 596"/>
        <s v="Order ID = 597"/>
        <s v="Order ID = 598"/>
        <s v="Order ID = 599"/>
        <s v="Order ID = 600"/>
        <s v="Order ID = 601"/>
        <s v="Order ID = 602"/>
        <s v="Order ID = 603"/>
        <s v="Order ID = 604"/>
        <s v="Order ID = 605"/>
        <s v="Order ID = 606"/>
        <s v="Order ID = 607"/>
        <s v="Order ID = 608"/>
        <s v="Order ID = 609"/>
        <s v="Order ID = 610"/>
        <s v="Order ID = 611"/>
        <s v="Order ID = 612"/>
        <s v="Order ID = 613"/>
        <s v="Order ID = 614"/>
        <s v="Order ID = 615"/>
        <s v="Order ID = 616"/>
        <s v="Order ID = 617"/>
        <s v="Order ID = 618"/>
        <s v="Order ID = 619"/>
        <s v="Order ID = 620"/>
        <s v="Order ID = 621"/>
        <s v="Order ID = 622"/>
        <s v="Order ID = 623"/>
        <s v="Order ID = 624"/>
        <s v="Order ID = 625"/>
        <s v="Order ID = 626"/>
        <s v="Order ID = 627"/>
        <s v="Order ID = 628"/>
        <s v="Order ID = 629"/>
        <s v="Order ID = 630"/>
        <s v="Order ID = 631"/>
        <s v="Order ID = 632"/>
        <s v="Order ID = 633"/>
        <s v="Order ID = 634"/>
        <s v="Order ID = 635"/>
        <s v="Order ID = 636"/>
        <s v="Order ID = 637"/>
        <s v="Order ID = 638"/>
        <s v="Order ID = 639"/>
        <s v="Order ID = 640"/>
        <s v="Order ID = 641"/>
        <s v="Order ID = 642"/>
        <s v="Order ID = 643"/>
        <s v="Order ID = 644"/>
        <s v="Order ID = 645"/>
        <s v="Order ID = 646"/>
        <s v="Order ID = 647"/>
        <s v="Order ID = 648"/>
        <s v="Order ID = 649"/>
        <s v="Order ID = 650"/>
        <s v="Order ID = 651"/>
        <s v="Order ID = 652"/>
        <s v="Order ID = 653"/>
        <s v="Order ID = 654"/>
        <s v="Order ID = 655"/>
        <s v="Order ID = 656"/>
        <s v="Order ID = 657"/>
        <s v="Order ID = 658"/>
        <s v="Order ID = 659"/>
        <s v="Order ID = 660"/>
        <s v="Order ID = 661"/>
        <s v="Order ID = 662"/>
        <s v="Order ID = 663"/>
        <s v="Order ID = 664"/>
        <s v="Order ID = 665"/>
        <s v="Order ID = 666"/>
        <s v="Order ID = 667"/>
        <s v="Order ID = 668"/>
        <s v="Order ID = 669"/>
        <s v="Order ID = 670"/>
        <s v="Order ID = 671"/>
        <s v="Order ID = 672"/>
        <s v="Order ID = 673"/>
        <s v="Order ID = 674"/>
        <s v="Order ID = 675"/>
        <s v="Order ID = 676"/>
        <s v="Order ID = 677"/>
        <s v="Order ID = 678"/>
        <s v="Order ID = 679"/>
        <s v="Order ID = 680"/>
        <s v="Order ID = 681"/>
        <s v="Order ID = 682"/>
        <s v="Order ID = 683"/>
        <s v="Order ID = 684"/>
        <s v="Order ID = 685"/>
        <s v="Order ID = 686"/>
        <s v="Order ID = 687"/>
        <s v="Order ID = 688"/>
        <s v="Order ID = 689"/>
        <s v="Order ID = 690"/>
        <s v="Order ID = 691"/>
        <s v="Order ID = 692"/>
        <s v="Order ID = 693"/>
        <s v="Order ID = 694"/>
        <s v="Order ID = 695"/>
        <s v="Order ID = 696"/>
        <s v="Order ID = 697"/>
        <s v="Order ID = 698"/>
        <s v="Order ID = 699"/>
        <s v="Order ID = 700"/>
        <s v="Order ID = 701"/>
        <s v="Order ID = 702"/>
        <s v="Order ID = 703"/>
        <s v="Order ID = 704"/>
        <s v="Order ID = 705"/>
        <s v="Order ID = 706"/>
        <s v="Order ID = 707"/>
        <s v="Order ID = 708"/>
        <s v="Order ID = 709"/>
        <s v="Order ID = 710"/>
        <s v="Order ID = 711"/>
        <s v="Order ID = 712"/>
        <s v="Order ID = 713"/>
        <s v="Order ID = 714"/>
        <s v="Order ID = 715"/>
        <s v="Order ID = 716"/>
        <s v="Order ID = 717"/>
        <s v="Order ID = 718"/>
        <s v="Order ID = 719"/>
        <s v="Order ID = 720"/>
        <s v="Order ID = 721"/>
        <s v="Order ID = 722"/>
        <s v="Order ID = 723"/>
        <s v="Order ID = 724"/>
        <s v="Order ID = 725"/>
        <s v="Order ID = 726"/>
        <s v="Order ID = 727"/>
        <s v="Order ID = 728"/>
        <s v="Order ID = 729"/>
        <s v="Order ID = 730"/>
        <s v="Order ID = 731"/>
        <s v="Order ID = 732"/>
        <s v="Order ID = 733"/>
        <s v="Order ID = 734"/>
        <s v="Order ID = 735"/>
        <s v="Order ID = 736"/>
        <s v="Order ID = 737"/>
        <s v="Order ID = 738"/>
        <s v="Order ID = 739"/>
        <s v="Order ID = 740"/>
        <s v="Order ID = 741"/>
        <s v="Order ID = 742"/>
        <s v="Order ID = 743"/>
        <s v="Order ID = 744"/>
        <s v="Order ID = 745"/>
        <s v="Order ID = 746"/>
        <s v="Order ID = 747"/>
        <s v="Order ID = 748"/>
        <s v="Order ID = 749"/>
        <s v="Order ID = 750"/>
        <s v="Order ID = 751"/>
        <s v="Order ID = 752"/>
        <s v="Order ID = 753"/>
        <s v="Order ID = 754"/>
        <s v="Order ID = 755"/>
        <s v="Order ID = 756"/>
        <s v="Order ID = 757"/>
        <s v="Order ID = 758"/>
        <s v="Order ID = 759"/>
        <s v="Order ID = 760"/>
        <s v="Order ID = 761"/>
        <s v="Order ID = 762"/>
        <s v="Order ID = 763"/>
        <s v="Order ID = 764"/>
        <s v="Order ID = 765"/>
        <s v="Order ID = 766"/>
        <s v="Order ID = 767"/>
        <s v="Order ID = 768"/>
        <s v="Order ID = 769"/>
        <s v="Order ID = 770"/>
        <s v="Order ID = 771"/>
        <s v="Order ID = 772"/>
        <s v="Order ID = 773"/>
        <s v="Order ID = 774"/>
        <s v="Order ID = 775"/>
        <s v="Order ID = 776"/>
        <s v="Order ID = 777"/>
        <s v="Order ID = 778"/>
        <s v="Order ID = 779"/>
        <s v="Order ID = 780"/>
        <s v="Order ID = 781"/>
        <s v="Order ID = 782"/>
        <s v="Order ID = 783"/>
        <s v="Order ID = 784"/>
        <s v="Order ID = 785"/>
        <s v="Order ID = 786"/>
        <s v="Order ID = 787"/>
        <s v="Order ID = 788"/>
        <s v="Order ID = 789"/>
        <s v="Order ID = 790"/>
        <s v="Order ID = 791"/>
        <s v="Order ID = 792"/>
        <s v="Order ID = 793"/>
        <s v="Order ID = 794"/>
        <s v="Order ID = 795"/>
        <s v="Order ID = 796"/>
        <s v="Order ID = 797"/>
        <s v="Order ID = 798"/>
        <s v="Order ID = 799"/>
        <s v="Order ID = 800"/>
        <s v="Order ID = 801"/>
        <s v="Order ID = 802"/>
        <s v="Order ID = 803"/>
        <s v="Order ID = 804"/>
        <s v="Order ID = 805"/>
        <s v="Order ID = 806"/>
        <s v="Order ID = 807"/>
        <s v="Order ID = 808"/>
        <s v="Order ID = 809"/>
        <s v="Order ID = 810"/>
        <s v="Order ID = 811"/>
        <s v="Order ID = 812"/>
        <s v="Order ID = 813"/>
        <s v="Order ID = 814"/>
        <s v="Order ID = 815"/>
        <s v="Order ID = 816"/>
        <s v="Order ID = 817"/>
        <s v="Order ID = 818"/>
        <s v="Order ID = 819"/>
        <s v="Order ID = 820"/>
        <s v="Order ID = 821"/>
        <s v="Order ID = 822"/>
        <s v="Order ID = 823"/>
        <s v="Order ID = 824"/>
        <s v="Order ID = 825"/>
        <s v="Order ID = 826"/>
        <s v="Order ID = 827"/>
        <s v="Order ID = 828"/>
        <s v="Order ID = 829"/>
        <s v="Order ID = 830"/>
        <s v="Order ID = 831"/>
        <s v="Order ID = 832"/>
        <s v="Order ID = 833"/>
        <s v="Order ID = 834"/>
        <s v="Order ID = 835"/>
        <s v="Order ID = 836"/>
        <s v="Order ID = 837"/>
        <s v="Order ID = 838"/>
        <s v="Order ID = 839"/>
        <s v="Order ID = 840"/>
        <s v="Order ID = 841"/>
        <s v="Order ID = 842"/>
        <s v="Order ID = 843"/>
        <s v="Order ID = 844"/>
        <s v="Order ID = 845"/>
        <s v="Order ID = 846"/>
        <s v="Order ID = 847"/>
        <s v="Order ID = 848"/>
        <s v="Order ID = 849"/>
        <s v="Order ID = 850"/>
        <s v="Order ID = 851"/>
        <s v="Order ID = 852"/>
        <s v="Order ID = 853"/>
        <s v="Order ID = 854"/>
        <s v="Order ID = 855"/>
        <s v="Order ID = 856"/>
        <s v="Order ID = 857"/>
        <s v="Order ID = 858"/>
        <s v="Order ID = 859"/>
        <s v="Order ID = 860"/>
        <s v="Order ID = 861"/>
        <s v="Order ID = 862"/>
        <s v="Order ID = 863"/>
        <s v="Order ID = 864"/>
        <s v="Order ID = 865"/>
        <s v="Order ID = 866"/>
        <s v="Order ID = 867"/>
        <s v="Order ID = 868"/>
        <s v="Order ID = 869"/>
        <s v="Order ID = 870"/>
        <s v="Order ID = 871"/>
        <s v="Order ID = 872"/>
        <s v="Order ID = 873"/>
        <s v="Order ID = 874"/>
        <s v="Order ID = 875"/>
        <s v="Order ID = 876"/>
        <s v="Order ID = 877"/>
        <s v="Order ID = 878"/>
        <s v="Order ID = 879"/>
        <s v="Order ID = 880"/>
        <s v="Order ID = 881"/>
        <s v="Order ID = 882"/>
        <s v="Order ID = 883"/>
        <s v="Order ID = 884"/>
        <s v="Order ID = 885"/>
        <s v="Order ID = 886"/>
        <s v="Order ID = 887"/>
        <s v="Order ID = 888"/>
        <s v="Order ID = 889"/>
        <s v="Order ID = 890"/>
        <s v="Order ID = 891"/>
        <s v="Order ID = 892"/>
        <s v="Order ID = 893"/>
        <s v="Order ID = 894"/>
        <s v="Order ID = 895"/>
        <s v="Order ID = 896"/>
        <s v="Order ID = 897"/>
        <s v="Order ID = 898"/>
        <s v="Order ID = 899"/>
        <s v="Order ID = 900"/>
        <s v="Order ID = 901"/>
        <s v="Order ID = 902"/>
        <s v="Order ID = 903"/>
        <s v="Order ID = 904"/>
        <s v="Order ID = 905"/>
        <s v="Order ID = 906"/>
        <s v="Order ID = 907"/>
        <s v="Order ID = 908"/>
        <s v="Order ID = 909"/>
        <s v="Order ID = 910"/>
        <s v="Order ID = 911"/>
        <s v="Order ID = 912"/>
        <s v="Order ID = 913"/>
        <s v="Order ID = 914"/>
        <s v="Order ID = 915"/>
        <s v="Order ID = 916"/>
        <s v="Order ID = 917"/>
        <s v="Order ID = 918"/>
        <s v="Order ID = 919"/>
        <s v="Order ID = 920"/>
        <s v="Order ID = 921"/>
        <s v="Order ID = 922"/>
        <s v="Order ID = 923"/>
        <s v="Order ID = 924"/>
        <s v="Order ID = 925"/>
        <s v="Order ID = 926"/>
        <s v="Order ID = 927"/>
        <s v="Order ID = 928"/>
        <s v="Order ID = 929"/>
        <s v="Order ID = 930"/>
        <s v="Order ID = 931"/>
        <s v="Order ID = 932"/>
        <s v="Order ID = 933"/>
        <s v="Order ID = 934"/>
        <s v="Order ID = 935"/>
        <s v="Order ID = 936"/>
        <s v="Order ID = 937"/>
        <s v="Order ID = 938"/>
        <s v="Order ID = 939"/>
        <s v="Order ID = 940"/>
        <s v="Order ID = 941"/>
        <s v="Order ID = 942"/>
        <s v="Order ID = 943"/>
        <s v="Order ID = 944"/>
        <s v="Order ID = 945"/>
        <s v="Order ID = 946"/>
        <s v="Order ID = 947"/>
        <s v="Order ID = 948"/>
        <s v="Order ID = 949"/>
        <s v="Order ID = 950"/>
        <s v="Order ID = 951"/>
        <s v="Order ID = 952"/>
        <s v="Order ID = 953"/>
        <s v="Order ID = 954"/>
        <s v="Order ID = 955"/>
        <s v="Order ID = 956"/>
        <s v="Order ID = 957"/>
        <s v="Order ID = 958"/>
        <s v="Order ID = 959"/>
        <s v="Order ID = 960"/>
        <s v="Order ID = 961"/>
        <s v="Order ID = 962"/>
        <s v="Order ID = 963"/>
        <s v="Order ID = 964"/>
        <s v="Order ID = 965"/>
        <s v="Order ID = 966"/>
        <s v="Order ID = 967"/>
        <s v="Order ID = 968"/>
        <s v="Order ID = 969"/>
        <s v="Order ID = 970"/>
        <s v="Order ID = 971"/>
        <s v="Order ID = 972"/>
        <s v="Order ID = 973"/>
        <s v="Order ID = 974"/>
        <s v="Order ID = 975"/>
        <s v="Order ID = 976"/>
        <s v="Order ID = 977"/>
        <s v="Order ID = 978"/>
        <s v="Order ID = 979"/>
        <s v="Order ID = 980"/>
        <s v="Order ID = 981"/>
        <s v="Order ID = 982"/>
        <s v="Order ID = 983"/>
        <s v="Order ID = 984"/>
        <s v="Order ID = 985"/>
        <s v="Order ID = 986"/>
        <s v="Order ID = 987"/>
        <s v="Order ID = 988"/>
        <s v="Order ID = 989"/>
        <s v="Order ID = 990"/>
        <s v="Order ID = 991"/>
        <s v="Order ID = 992"/>
        <s v="Order ID = 993"/>
        <s v="Order ID = 994"/>
        <s v="Order ID = 995"/>
        <s v="Order ID = 996"/>
        <s v="Order ID = 997"/>
        <s v="Order ID = 998"/>
        <s v="Order ID = 999"/>
        <s v="Order ID = 1000"/>
        <s v="Order ID = 1001"/>
        <s v="Order ID = 1002"/>
        <s v="Order ID = 1003"/>
        <s v="Order ID = 1004"/>
        <s v="Order ID = 1005"/>
        <s v="Order ID = 1006"/>
        <s v="Order ID = 1007"/>
        <s v="Order ID = 1008"/>
        <s v="Order ID = 1009"/>
        <s v="Order ID = 1010"/>
        <s v="Order ID = 1011"/>
        <s v="Order ID = 1012"/>
        <s v="Order ID = 1013"/>
        <s v="Order ID = 1014"/>
        <s v="Order ID = 1015"/>
        <s v="Order ID = 1016"/>
        <s v="Order ID = 1017"/>
        <s v="Order ID = 1018"/>
        <s v="Order ID = 1019"/>
        <s v="Order ID = 1020"/>
        <s v="Order ID = 1021"/>
        <s v="Order ID = 1022"/>
        <s v="Order ID = 1023"/>
        <s v="Order ID = 1024"/>
        <s v="Order ID = 1025"/>
        <s v="Order ID = 1026"/>
        <s v="Order ID = 1027"/>
        <s v="Order ID = 1028"/>
        <s v="Order ID = 1029"/>
        <s v="Order ID = 1030"/>
        <s v="Order ID = 1031"/>
        <s v="Order ID = 1032"/>
        <s v="Order ID = 1033"/>
        <s v="Order ID = 1034"/>
        <s v="Order ID = 1035"/>
        <s v="Order ID = 1036"/>
        <s v="Order ID = 1037"/>
        <s v="Order ID = 1038"/>
        <s v="Order ID = 1039"/>
        <s v="Order ID = 1040"/>
        <s v="Order ID = 1041"/>
        <s v="Order ID = 1042"/>
        <s v="Order ID = 1043"/>
        <s v="Order ID = 1044"/>
        <s v="Order ID = 1045"/>
        <s v="Order ID = 1046"/>
        <s v="Order ID = 1047"/>
        <s v="Order ID = 1048"/>
        <s v="Order ID = 1049"/>
        <s v="Order ID = 1050"/>
        <s v="Order ID = 1051"/>
        <s v="Order ID = 1052"/>
        <s v="Order ID = 1053"/>
        <s v="Order ID = 1054"/>
        <s v="Order ID = 1055"/>
        <s v="Order ID = 1056"/>
        <s v="Order ID = 1057"/>
        <s v="Order ID = 1058"/>
        <s v="Order ID = 1059"/>
        <s v="Order ID = 1060"/>
        <s v="Order ID = 1061"/>
        <s v="Order ID = 1062"/>
        <s v="Order ID = 1063"/>
        <s v="Order ID = 1064"/>
        <s v="Order ID = 1065"/>
        <s v="Order ID = 1066"/>
        <s v="Order ID = 1067"/>
        <s v="Order ID = 1068"/>
        <s v="Order ID = 1069"/>
        <s v="Order ID = 1070"/>
        <s v="Order ID = 1071"/>
        <s v="Order ID = 1072"/>
        <s v="Order ID = 1073"/>
        <s v="Order ID = 1074"/>
        <s v="Order ID = 1075"/>
        <s v="Order ID = 1076"/>
        <s v="Order ID = 1077"/>
        <s v="Order ID = 1078"/>
        <s v="Order ID = 1079"/>
        <s v="Order ID = 1080"/>
        <s v="Order ID = 1081"/>
        <s v="Order ID = 1082"/>
        <s v="Order ID = 1083"/>
        <s v="Order ID = 1084"/>
        <s v="Order ID = 1085"/>
        <s v="Order ID = 1086"/>
        <s v="Order ID = 1087"/>
        <s v="Order ID = 1088"/>
        <s v="Order ID = 1089"/>
        <s v="Order ID = 1090"/>
        <s v="Order ID = 1091"/>
        <s v="Order ID = 1092"/>
        <s v="Order ID = 1093"/>
        <s v="Order ID = 1094"/>
        <s v="Order ID = 1095"/>
        <s v="Order ID = 1096"/>
        <s v="Order ID = 1097"/>
        <s v="Order ID = 1098"/>
        <s v="Order ID = 1099"/>
        <s v="Order ID = 1100"/>
        <s v="Order ID = 1101"/>
        <s v="Order ID = 1102"/>
        <s v="Order ID = 1103"/>
        <s v="Order ID = 1104"/>
        <s v="Order ID = 1105"/>
        <s v="Order ID = 1106"/>
        <s v="Order ID = 1107"/>
        <s v="Order ID = 1108"/>
        <s v="Order ID = 1109"/>
        <s v="Order ID = 1110"/>
        <s v="Order ID = 1111"/>
        <s v="Order ID = 1112"/>
        <s v="Order ID = 1113"/>
        <s v="Order ID = 1114"/>
        <s v="Order ID = 1115"/>
        <s v="Order ID = 1116"/>
        <s v="Order ID = 1117"/>
        <s v="Order ID = 1118"/>
        <s v="Order ID = 1119"/>
        <s v="Order ID = 1120"/>
        <s v="Order ID = 1121"/>
        <s v="Order ID = 1122"/>
        <s v="Order ID = 1123"/>
        <s v="Order ID = 1124"/>
        <s v="Order ID = 1125"/>
        <s v="Order ID = 1126"/>
        <s v="Order ID = 1127"/>
        <s v="Order ID = 1128"/>
        <s v="Order ID = 1129"/>
        <s v="Order ID = 1130"/>
        <s v="Order ID = 1131"/>
        <s v="Order ID = 1132"/>
        <s v="Order ID = 1133"/>
        <s v="Order ID = 1134"/>
        <s v="Order ID = 1135"/>
        <s v="Order ID = 1136"/>
        <s v="Order ID = 1137"/>
        <s v="Order ID = 1138"/>
        <s v="Order ID = 1139"/>
        <s v="Order ID = 1140"/>
        <s v="Order ID = 1141"/>
        <s v="Order ID = 1142"/>
        <s v="Order ID = 1143"/>
        <s v="Order ID = 1144"/>
        <s v="Order ID = 1145"/>
        <s v="Order ID = 1146"/>
        <s v="Order ID = 1147"/>
        <s v="Order ID = 1148"/>
        <s v="Order ID = 1149"/>
        <s v="Order ID = 1150"/>
        <s v="Order ID = 1151"/>
        <s v="Order ID = 1152"/>
        <s v="Order ID = 1153"/>
        <s v="Order ID = 1154"/>
        <s v="Order ID = 1155"/>
        <s v="Order ID = 1156"/>
        <s v="Order ID = 1157"/>
        <s v="Order ID = 1158"/>
        <s v="Order ID = 1159"/>
        <s v="Order ID = 1160"/>
        <s v="Order ID = 1161"/>
        <s v="Order ID = 1162"/>
        <s v="Order ID = 1163"/>
        <s v="Order ID = 1164"/>
        <s v="Order ID = 1165"/>
        <s v="Order ID = 1166"/>
        <s v="Order ID = 1167"/>
        <s v="Order ID = 1168"/>
        <s v="Order ID = 1169"/>
        <s v="Order ID = 1170"/>
        <s v="Order ID = 1171"/>
        <s v="Order ID = 1172"/>
        <s v="Order ID = 1173"/>
        <s v="Order ID = 1174"/>
        <s v="Order ID = 1175"/>
        <s v="Order ID = 1176"/>
        <s v="Order ID = 1177"/>
        <s v="Order ID = 1178"/>
        <s v="Order ID = 1179"/>
        <s v="Order ID = 1180"/>
        <s v="Order ID = 1181"/>
        <s v="Order ID = 1182"/>
        <s v="Order ID = 1183"/>
        <s v="Order ID = 1184"/>
        <s v="Order ID = 1185"/>
        <s v="Order ID = 1186"/>
        <s v="Order ID = 1187"/>
        <s v="Order ID = 1188"/>
        <s v="Order ID = 1189"/>
        <s v="Order ID = 1190"/>
        <s v="Order ID = 1191"/>
        <s v="Order ID = 1192"/>
        <s v="Order ID = 1193"/>
        <s v="Order ID = 1194"/>
        <s v="Order ID = 1195"/>
        <s v="Order ID = 1196"/>
        <s v="Order ID = 1197"/>
        <s v="Order ID = 1198"/>
        <s v="Order ID = 1199"/>
        <s v="Order ID = 1200"/>
        <s v="Order ID = 1201"/>
        <s v="Order ID = 1202"/>
        <s v="Order ID = 1203"/>
        <s v="Order ID = 1204"/>
        <s v="Order ID = 1205"/>
        <s v="Order ID = 1206"/>
        <s v="Order ID = 1207"/>
        <s v="Order ID = 1208"/>
        <s v="Order ID = 1209"/>
        <s v="Order ID = 1210"/>
        <s v="Order ID = 1211"/>
        <s v="Order ID = 1212"/>
        <s v="Order ID = 1213"/>
        <s v="Order ID = 1214"/>
        <s v="Order ID = 1215"/>
        <s v="Order ID = 1216"/>
        <s v="Order ID = 1217"/>
        <s v="Order ID = 1218"/>
        <s v="Order ID = 1219"/>
        <s v="Order ID = 1220"/>
        <s v="Order ID = 1221"/>
        <s v="Order ID = 1222"/>
        <s v="Order ID = 1223"/>
        <s v="Order ID = 1224"/>
        <s v="Order ID = 1225"/>
        <s v="Order ID = 1226"/>
        <s v="Order ID = 1227"/>
        <s v="Order ID = 1228"/>
        <s v="Order ID = 1229"/>
        <s v="Order ID = 1230"/>
        <s v="Order ID = 1231"/>
        <s v="Order ID = 1232"/>
        <s v="Order ID = 1233"/>
        <s v="Order ID = 1234"/>
        <s v="Order ID = 1235"/>
        <s v="Order ID = 1236"/>
        <s v="Order ID = 1237"/>
        <s v="Order ID = 1238"/>
        <s v="Order ID = 1239"/>
        <s v="Order ID = 1240"/>
        <s v="Order ID = 1241"/>
        <s v="Order ID = 1242"/>
        <s v="Order ID = 1243"/>
        <s v="Order ID = 1244"/>
        <s v="Order ID = 1245"/>
        <s v="Order ID = 1246"/>
        <s v="Order ID = 1247"/>
        <s v="Order ID = 1248"/>
        <s v="Order ID = 1249"/>
        <s v="Order ID = 1250"/>
        <s v="Order ID = 1251"/>
        <s v="Order ID = 1252"/>
        <s v="Order ID = 1253"/>
        <s v="Order ID = 1254"/>
        <s v="Order ID = 1255"/>
        <s v="Order ID = 1256"/>
        <s v="Order ID = 1257"/>
        <s v="Order ID = 1258"/>
        <s v="Order ID = 1259"/>
        <s v="Order ID = 1260"/>
        <s v="Order ID = 1261"/>
        <s v="Order ID = 1262"/>
        <s v="Order ID = 1263"/>
        <s v="Order ID = 1264"/>
        <s v="Order ID = 1265"/>
        <s v="Order ID = 1266"/>
        <s v="Order ID = 1267"/>
        <s v="Order ID = 1268"/>
        <s v="Order ID = 1269"/>
        <s v="Order ID = 1270"/>
        <s v="Order ID = 1271"/>
        <s v="Order ID = 1272"/>
        <s v="Order ID = 1273"/>
        <s v="Order ID = 1274"/>
        <s v="Order ID = 1275"/>
        <s v="Order ID = 1276"/>
        <s v="Order ID = 1277"/>
        <s v="Order ID = 1278"/>
        <s v="Order ID = 1279"/>
        <s v="Order ID = 1280"/>
        <s v="Order ID = 1281"/>
        <s v="Order ID = 1282"/>
        <s v="Order ID = 1283"/>
        <s v="Order ID = 1284"/>
        <s v="Order ID = 1285"/>
        <s v="Order ID = 1286"/>
        <s v="Order ID = 1287"/>
        <s v="Order ID = 1288"/>
        <s v="Order ID = 1289"/>
        <s v="Order ID = 1290"/>
        <s v="Order ID = 1291"/>
        <s v="Order ID = 1292"/>
        <s v="Order ID = 1293"/>
        <s v="Order ID = 1294"/>
        <s v="Order ID = 1295"/>
        <s v="Order ID = 1296"/>
        <s v="Order ID = 1297"/>
        <s v="Order ID = 1298"/>
        <s v="Order ID = 1299"/>
        <s v="Order ID = 1300"/>
      </sharedItems>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6" maxValue="230"/>
    </cacheField>
    <cacheField name="Total Sales" numFmtId="0">
      <sharedItems containsSemiMixedTypes="0" containsString="0" containsNumber="1" containsInteger="1" minValue="32" maxValue="5290"/>
    </cacheField>
    <cacheField name="Commission" numFmtId="0">
      <sharedItems containsSemiMixedTypes="0" containsString="0" containsNumber="1" minValue="0.01" maxValue="0.12"/>
    </cacheField>
    <cacheField name="Total Comission" numFmtId="0">
      <sharedItems containsSemiMixedTypes="0" containsString="0" containsNumber="1" minValue="0.96" maxValue="556.6"/>
    </cacheField>
    <cacheField name="Net Sales" numFmtId="0">
      <sharedItems containsSemiMixedTypes="0" containsString="0" containsNumber="1" containsInteger="1" minValue="31" maxValue="4973"/>
    </cacheField>
    <cacheField name="State" numFmtId="0">
      <sharedItems count="12">
        <s v="Meghalaya"/>
        <s v="Uttar Pradesh"/>
        <s v="Maharashtra"/>
        <s v="Delhi"/>
        <s v="West Bengal"/>
        <s v="Bihar"/>
        <s v="Goa"/>
        <s v="Karnataka"/>
        <s v="Gujarat"/>
        <s v="Jharkhand"/>
        <s v="Haryana"/>
        <s v="Kerala"/>
      </sharedItems>
    </cacheField>
  </cacheFields>
  <extLst>
    <ext xmlns:x14="http://schemas.microsoft.com/office/spreadsheetml/2009/9/main" uri="{725AE2AE-9491-48be-B2B4-4EB974FC3084}">
      <x14:pivotCacheDefinition pivotCacheId="213475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x v="0"/>
    <x v="0"/>
    <x v="0"/>
    <x v="0"/>
    <n v="10"/>
    <n v="80"/>
    <n v="800"/>
    <n v="0.01"/>
    <n v="8"/>
    <n v="792"/>
    <x v="0"/>
  </r>
  <r>
    <x v="1"/>
    <x v="0"/>
    <x v="1"/>
    <x v="1"/>
    <n v="14"/>
    <n v="40"/>
    <n v="560"/>
    <n v="0.06"/>
    <n v="33.6"/>
    <n v="526"/>
    <x v="1"/>
  </r>
  <r>
    <x v="2"/>
    <x v="0"/>
    <x v="2"/>
    <x v="1"/>
    <n v="22"/>
    <n v="230"/>
    <n v="5060"/>
    <n v="0.11"/>
    <n v="556.6"/>
    <n v="4503"/>
    <x v="2"/>
  </r>
  <r>
    <x v="3"/>
    <x v="0"/>
    <x v="2"/>
    <x v="0"/>
    <n v="8"/>
    <n v="230"/>
    <n v="1840"/>
    <n v="0.03"/>
    <n v="55.199999999999996"/>
    <n v="1785"/>
    <x v="3"/>
  </r>
  <r>
    <x v="4"/>
    <x v="0"/>
    <x v="2"/>
    <x v="2"/>
    <n v="12"/>
    <n v="230"/>
    <n v="2760"/>
    <n v="0.03"/>
    <n v="82.8"/>
    <n v="2677"/>
    <x v="4"/>
  </r>
  <r>
    <x v="5"/>
    <x v="0"/>
    <x v="0"/>
    <x v="3"/>
    <n v="19"/>
    <n v="80"/>
    <n v="1520"/>
    <n v="0.02"/>
    <n v="30.400000000000002"/>
    <n v="1490"/>
    <x v="5"/>
  </r>
  <r>
    <x v="6"/>
    <x v="0"/>
    <x v="3"/>
    <x v="4"/>
    <n v="17"/>
    <n v="16"/>
    <n v="272"/>
    <n v="0.08"/>
    <n v="21.76"/>
    <n v="250"/>
    <x v="6"/>
  </r>
  <r>
    <x v="7"/>
    <x v="0"/>
    <x v="4"/>
    <x v="3"/>
    <n v="7"/>
    <n v="150"/>
    <n v="1050"/>
    <n v="0.05"/>
    <n v="52.5"/>
    <n v="998"/>
    <x v="7"/>
  </r>
  <r>
    <x v="8"/>
    <x v="0"/>
    <x v="4"/>
    <x v="3"/>
    <n v="20"/>
    <n v="150"/>
    <n v="3000"/>
    <n v="0.1"/>
    <n v="300"/>
    <n v="2700"/>
    <x v="8"/>
  </r>
  <r>
    <x v="9"/>
    <x v="0"/>
    <x v="3"/>
    <x v="0"/>
    <n v="21"/>
    <n v="16"/>
    <n v="336"/>
    <n v="0.09"/>
    <n v="30.24"/>
    <n v="306"/>
    <x v="9"/>
  </r>
  <r>
    <x v="10"/>
    <x v="0"/>
    <x v="2"/>
    <x v="1"/>
    <n v="7"/>
    <n v="230"/>
    <n v="1610"/>
    <n v="0.01"/>
    <n v="16.100000000000001"/>
    <n v="1594"/>
    <x v="10"/>
  </r>
  <r>
    <x v="11"/>
    <x v="1"/>
    <x v="0"/>
    <x v="3"/>
    <n v="7"/>
    <n v="80"/>
    <n v="560"/>
    <n v="7.0000000000000007E-2"/>
    <n v="39.200000000000003"/>
    <n v="521"/>
    <x v="11"/>
  </r>
  <r>
    <x v="12"/>
    <x v="1"/>
    <x v="0"/>
    <x v="4"/>
    <n v="9"/>
    <n v="80"/>
    <n v="720"/>
    <n v="0.02"/>
    <n v="14.4"/>
    <n v="706"/>
    <x v="0"/>
  </r>
  <r>
    <x v="13"/>
    <x v="1"/>
    <x v="1"/>
    <x v="4"/>
    <n v="16"/>
    <n v="40"/>
    <n v="640"/>
    <n v="0.09"/>
    <n v="57.599999999999994"/>
    <n v="582"/>
    <x v="1"/>
  </r>
  <r>
    <x v="14"/>
    <x v="1"/>
    <x v="4"/>
    <x v="1"/>
    <n v="23"/>
    <n v="150"/>
    <n v="3450"/>
    <n v="0.11"/>
    <n v="379.5"/>
    <n v="3070"/>
    <x v="2"/>
  </r>
  <r>
    <x v="15"/>
    <x v="1"/>
    <x v="3"/>
    <x v="3"/>
    <n v="22"/>
    <n v="16"/>
    <n v="352"/>
    <n v="0.03"/>
    <n v="10.559999999999999"/>
    <n v="341"/>
    <x v="3"/>
  </r>
  <r>
    <x v="16"/>
    <x v="1"/>
    <x v="1"/>
    <x v="3"/>
    <n v="23"/>
    <n v="40"/>
    <n v="920"/>
    <n v="0.06"/>
    <n v="55.199999999999996"/>
    <n v="865"/>
    <x v="4"/>
  </r>
  <r>
    <x v="17"/>
    <x v="1"/>
    <x v="0"/>
    <x v="0"/>
    <n v="20"/>
    <n v="80"/>
    <n v="1600"/>
    <n v="0.01"/>
    <n v="16"/>
    <n v="1584"/>
    <x v="5"/>
  </r>
  <r>
    <x v="18"/>
    <x v="2"/>
    <x v="0"/>
    <x v="3"/>
    <n v="11"/>
    <n v="80"/>
    <n v="880"/>
    <n v="0.01"/>
    <n v="8.8000000000000007"/>
    <n v="871"/>
    <x v="6"/>
  </r>
  <r>
    <x v="19"/>
    <x v="2"/>
    <x v="1"/>
    <x v="3"/>
    <n v="9"/>
    <n v="40"/>
    <n v="360"/>
    <n v="0.06"/>
    <n v="21.599999999999998"/>
    <n v="338"/>
    <x v="7"/>
  </r>
  <r>
    <x v="20"/>
    <x v="2"/>
    <x v="0"/>
    <x v="4"/>
    <n v="16"/>
    <n v="80"/>
    <n v="1280"/>
    <n v="0.09"/>
    <n v="115.19999999999999"/>
    <n v="1165"/>
    <x v="8"/>
  </r>
  <r>
    <x v="21"/>
    <x v="2"/>
    <x v="0"/>
    <x v="2"/>
    <n v="10"/>
    <n v="80"/>
    <n v="800"/>
    <n v="0.08"/>
    <n v="64"/>
    <n v="736"/>
    <x v="9"/>
  </r>
  <r>
    <x v="22"/>
    <x v="2"/>
    <x v="3"/>
    <x v="2"/>
    <n v="12"/>
    <n v="16"/>
    <n v="192"/>
    <n v="0.11"/>
    <n v="21.12"/>
    <n v="171"/>
    <x v="10"/>
  </r>
  <r>
    <x v="23"/>
    <x v="2"/>
    <x v="4"/>
    <x v="3"/>
    <n v="6"/>
    <n v="150"/>
    <n v="900"/>
    <n v="0.03"/>
    <n v="27"/>
    <n v="873"/>
    <x v="11"/>
  </r>
  <r>
    <x v="24"/>
    <x v="2"/>
    <x v="3"/>
    <x v="2"/>
    <n v="11"/>
    <n v="16"/>
    <n v="176"/>
    <n v="0.04"/>
    <n v="7.04"/>
    <n v="169"/>
    <x v="0"/>
  </r>
  <r>
    <x v="25"/>
    <x v="2"/>
    <x v="0"/>
    <x v="3"/>
    <n v="22"/>
    <n v="80"/>
    <n v="1760"/>
    <n v="0.03"/>
    <n v="52.8"/>
    <n v="1707"/>
    <x v="1"/>
  </r>
  <r>
    <x v="26"/>
    <x v="2"/>
    <x v="3"/>
    <x v="1"/>
    <n v="7"/>
    <n v="16"/>
    <n v="112"/>
    <n v="0.08"/>
    <n v="8.9600000000000009"/>
    <n v="103"/>
    <x v="2"/>
  </r>
  <r>
    <x v="27"/>
    <x v="2"/>
    <x v="1"/>
    <x v="3"/>
    <n v="13"/>
    <n v="40"/>
    <n v="520"/>
    <n v="0.09"/>
    <n v="46.8"/>
    <n v="473"/>
    <x v="3"/>
  </r>
  <r>
    <x v="28"/>
    <x v="2"/>
    <x v="2"/>
    <x v="3"/>
    <n v="8"/>
    <n v="230"/>
    <n v="1840"/>
    <n v="0.05"/>
    <n v="92"/>
    <n v="1748"/>
    <x v="4"/>
  </r>
  <r>
    <x v="29"/>
    <x v="2"/>
    <x v="3"/>
    <x v="3"/>
    <n v="14"/>
    <n v="16"/>
    <n v="224"/>
    <n v="0.12"/>
    <n v="26.88"/>
    <n v="197"/>
    <x v="5"/>
  </r>
  <r>
    <x v="30"/>
    <x v="2"/>
    <x v="1"/>
    <x v="4"/>
    <n v="16"/>
    <n v="40"/>
    <n v="640"/>
    <n v="0.09"/>
    <n v="57.599999999999994"/>
    <n v="582"/>
    <x v="6"/>
  </r>
  <r>
    <x v="31"/>
    <x v="3"/>
    <x v="4"/>
    <x v="1"/>
    <n v="16"/>
    <n v="150"/>
    <n v="2400"/>
    <n v="0.05"/>
    <n v="120"/>
    <n v="2280"/>
    <x v="7"/>
  </r>
  <r>
    <x v="32"/>
    <x v="3"/>
    <x v="1"/>
    <x v="1"/>
    <n v="12"/>
    <n v="40"/>
    <n v="480"/>
    <n v="0.1"/>
    <n v="48"/>
    <n v="432"/>
    <x v="8"/>
  </r>
  <r>
    <x v="33"/>
    <x v="3"/>
    <x v="0"/>
    <x v="4"/>
    <n v="17"/>
    <n v="80"/>
    <n v="1360"/>
    <n v="7.0000000000000007E-2"/>
    <n v="95.2"/>
    <n v="1265"/>
    <x v="9"/>
  </r>
  <r>
    <x v="34"/>
    <x v="3"/>
    <x v="2"/>
    <x v="3"/>
    <n v="19"/>
    <n v="230"/>
    <n v="4370"/>
    <n v="0.06"/>
    <n v="262.2"/>
    <n v="4108"/>
    <x v="10"/>
  </r>
  <r>
    <x v="35"/>
    <x v="3"/>
    <x v="2"/>
    <x v="4"/>
    <n v="22"/>
    <n v="230"/>
    <n v="5060"/>
    <n v="0.1"/>
    <n v="506"/>
    <n v="4554"/>
    <x v="11"/>
  </r>
  <r>
    <x v="36"/>
    <x v="3"/>
    <x v="1"/>
    <x v="3"/>
    <n v="22"/>
    <n v="40"/>
    <n v="880"/>
    <n v="0.01"/>
    <n v="8.8000000000000007"/>
    <n v="871"/>
    <x v="0"/>
  </r>
  <r>
    <x v="37"/>
    <x v="3"/>
    <x v="3"/>
    <x v="3"/>
    <n v="10"/>
    <n v="16"/>
    <n v="160"/>
    <n v="0.04"/>
    <n v="6.4"/>
    <n v="154"/>
    <x v="1"/>
  </r>
  <r>
    <x v="38"/>
    <x v="3"/>
    <x v="1"/>
    <x v="1"/>
    <n v="4"/>
    <n v="40"/>
    <n v="160"/>
    <n v="0.12"/>
    <n v="19.2"/>
    <n v="141"/>
    <x v="2"/>
  </r>
  <r>
    <x v="39"/>
    <x v="3"/>
    <x v="1"/>
    <x v="4"/>
    <n v="20"/>
    <n v="40"/>
    <n v="800"/>
    <n v="0.05"/>
    <n v="40"/>
    <n v="760"/>
    <x v="3"/>
  </r>
  <r>
    <x v="40"/>
    <x v="4"/>
    <x v="2"/>
    <x v="3"/>
    <n v="23"/>
    <n v="230"/>
    <n v="5290"/>
    <n v="0.06"/>
    <n v="317.39999999999998"/>
    <n v="4973"/>
    <x v="4"/>
  </r>
  <r>
    <x v="41"/>
    <x v="4"/>
    <x v="1"/>
    <x v="2"/>
    <n v="20"/>
    <n v="40"/>
    <n v="800"/>
    <n v="0.01"/>
    <n v="8"/>
    <n v="792"/>
    <x v="5"/>
  </r>
  <r>
    <x v="42"/>
    <x v="4"/>
    <x v="4"/>
    <x v="2"/>
    <n v="20"/>
    <n v="150"/>
    <n v="3000"/>
    <n v="0.04"/>
    <n v="120"/>
    <n v="2880"/>
    <x v="6"/>
  </r>
  <r>
    <x v="43"/>
    <x v="4"/>
    <x v="0"/>
    <x v="1"/>
    <n v="9"/>
    <n v="80"/>
    <n v="720"/>
    <n v="0.03"/>
    <n v="21.599999999999998"/>
    <n v="698"/>
    <x v="7"/>
  </r>
  <r>
    <x v="44"/>
    <x v="4"/>
    <x v="2"/>
    <x v="0"/>
    <n v="7"/>
    <n v="230"/>
    <n v="1610"/>
    <n v="0.02"/>
    <n v="32.200000000000003"/>
    <n v="1578"/>
    <x v="8"/>
  </r>
  <r>
    <x v="45"/>
    <x v="4"/>
    <x v="2"/>
    <x v="0"/>
    <n v="3"/>
    <n v="230"/>
    <n v="690"/>
    <n v="0.06"/>
    <n v="41.4"/>
    <n v="649"/>
    <x v="9"/>
  </r>
  <r>
    <x v="46"/>
    <x v="4"/>
    <x v="4"/>
    <x v="0"/>
    <n v="13"/>
    <n v="150"/>
    <n v="1950"/>
    <n v="0.05"/>
    <n v="97.5"/>
    <n v="1852"/>
    <x v="10"/>
  </r>
  <r>
    <x v="47"/>
    <x v="4"/>
    <x v="0"/>
    <x v="0"/>
    <n v="17"/>
    <n v="80"/>
    <n v="1360"/>
    <n v="0.09"/>
    <n v="122.39999999999999"/>
    <n v="1238"/>
    <x v="11"/>
  </r>
  <r>
    <x v="48"/>
    <x v="5"/>
    <x v="1"/>
    <x v="3"/>
    <n v="18"/>
    <n v="40"/>
    <n v="720"/>
    <n v="0.06"/>
    <n v="43.199999999999996"/>
    <n v="677"/>
    <x v="0"/>
  </r>
  <r>
    <x v="49"/>
    <x v="5"/>
    <x v="3"/>
    <x v="2"/>
    <n v="23"/>
    <n v="16"/>
    <n v="368"/>
    <n v="0.11"/>
    <n v="40.479999999999997"/>
    <n v="328"/>
    <x v="1"/>
  </r>
  <r>
    <x v="50"/>
    <x v="5"/>
    <x v="2"/>
    <x v="2"/>
    <n v="20"/>
    <n v="230"/>
    <n v="4600"/>
    <n v="0.06"/>
    <n v="276"/>
    <n v="4324"/>
    <x v="2"/>
  </r>
  <r>
    <x v="51"/>
    <x v="5"/>
    <x v="3"/>
    <x v="0"/>
    <n v="11"/>
    <n v="16"/>
    <n v="176"/>
    <n v="0.09"/>
    <n v="15.84"/>
    <n v="160"/>
    <x v="3"/>
  </r>
  <r>
    <x v="52"/>
    <x v="5"/>
    <x v="4"/>
    <x v="4"/>
    <n v="15"/>
    <n v="150"/>
    <n v="2250"/>
    <n v="7.0000000000000007E-2"/>
    <n v="157.50000000000003"/>
    <n v="2092"/>
    <x v="4"/>
  </r>
  <r>
    <x v="53"/>
    <x v="5"/>
    <x v="2"/>
    <x v="1"/>
    <n v="6"/>
    <n v="230"/>
    <n v="1380"/>
    <n v="0.1"/>
    <n v="138"/>
    <n v="1242"/>
    <x v="5"/>
  </r>
  <r>
    <x v="54"/>
    <x v="5"/>
    <x v="1"/>
    <x v="0"/>
    <n v="22"/>
    <n v="40"/>
    <n v="880"/>
    <n v="0.02"/>
    <n v="17.600000000000001"/>
    <n v="862"/>
    <x v="6"/>
  </r>
  <r>
    <x v="55"/>
    <x v="5"/>
    <x v="1"/>
    <x v="0"/>
    <n v="15"/>
    <n v="40"/>
    <n v="600"/>
    <n v="0.06"/>
    <n v="36"/>
    <n v="564"/>
    <x v="7"/>
  </r>
  <r>
    <x v="56"/>
    <x v="5"/>
    <x v="3"/>
    <x v="2"/>
    <n v="12"/>
    <n v="16"/>
    <n v="192"/>
    <n v="0.03"/>
    <n v="5.76"/>
    <n v="186"/>
    <x v="8"/>
  </r>
  <r>
    <x v="57"/>
    <x v="5"/>
    <x v="3"/>
    <x v="4"/>
    <n v="22"/>
    <n v="16"/>
    <n v="352"/>
    <n v="0.12"/>
    <n v="42.239999999999995"/>
    <n v="310"/>
    <x v="9"/>
  </r>
  <r>
    <x v="58"/>
    <x v="5"/>
    <x v="0"/>
    <x v="0"/>
    <n v="21"/>
    <n v="80"/>
    <n v="1680"/>
    <n v="0.04"/>
    <n v="67.2"/>
    <n v="1613"/>
    <x v="10"/>
  </r>
  <r>
    <x v="59"/>
    <x v="5"/>
    <x v="4"/>
    <x v="0"/>
    <n v="22"/>
    <n v="150"/>
    <n v="3300"/>
    <n v="0.05"/>
    <n v="165"/>
    <n v="3135"/>
    <x v="11"/>
  </r>
  <r>
    <x v="60"/>
    <x v="5"/>
    <x v="0"/>
    <x v="4"/>
    <n v="21"/>
    <n v="80"/>
    <n v="1680"/>
    <n v="0.09"/>
    <n v="151.19999999999999"/>
    <n v="1529"/>
    <x v="0"/>
  </r>
  <r>
    <x v="61"/>
    <x v="5"/>
    <x v="0"/>
    <x v="3"/>
    <n v="10"/>
    <n v="80"/>
    <n v="800"/>
    <n v="0.1"/>
    <n v="80"/>
    <n v="720"/>
    <x v="1"/>
  </r>
  <r>
    <x v="62"/>
    <x v="5"/>
    <x v="2"/>
    <x v="1"/>
    <n v="15"/>
    <n v="230"/>
    <n v="3450"/>
    <n v="0.09"/>
    <n v="310.5"/>
    <n v="3140"/>
    <x v="2"/>
  </r>
  <r>
    <x v="63"/>
    <x v="6"/>
    <x v="0"/>
    <x v="0"/>
    <n v="14"/>
    <n v="80"/>
    <n v="1120"/>
    <n v="0.08"/>
    <n v="89.600000000000009"/>
    <n v="1030"/>
    <x v="3"/>
  </r>
  <r>
    <x v="64"/>
    <x v="6"/>
    <x v="0"/>
    <x v="4"/>
    <n v="10"/>
    <n v="80"/>
    <n v="800"/>
    <n v="0.06"/>
    <n v="48"/>
    <n v="752"/>
    <x v="4"/>
  </r>
  <r>
    <x v="65"/>
    <x v="6"/>
    <x v="4"/>
    <x v="0"/>
    <n v="5"/>
    <n v="150"/>
    <n v="750"/>
    <n v="0.11"/>
    <n v="82.5"/>
    <n v="668"/>
    <x v="5"/>
  </r>
  <r>
    <x v="66"/>
    <x v="6"/>
    <x v="2"/>
    <x v="3"/>
    <n v="3"/>
    <n v="230"/>
    <n v="690"/>
    <n v="0.01"/>
    <n v="6.9"/>
    <n v="683"/>
    <x v="6"/>
  </r>
  <r>
    <x v="67"/>
    <x v="6"/>
    <x v="1"/>
    <x v="3"/>
    <n v="4"/>
    <n v="40"/>
    <n v="160"/>
    <n v="0.05"/>
    <n v="8"/>
    <n v="152"/>
    <x v="7"/>
  </r>
  <r>
    <x v="68"/>
    <x v="6"/>
    <x v="4"/>
    <x v="2"/>
    <n v="18"/>
    <n v="150"/>
    <n v="2700"/>
    <n v="0.06"/>
    <n v="162"/>
    <n v="2538"/>
    <x v="8"/>
  </r>
  <r>
    <x v="69"/>
    <x v="6"/>
    <x v="1"/>
    <x v="4"/>
    <n v="20"/>
    <n v="40"/>
    <n v="800"/>
    <n v="0.1"/>
    <n v="80"/>
    <n v="720"/>
    <x v="9"/>
  </r>
  <r>
    <x v="70"/>
    <x v="6"/>
    <x v="0"/>
    <x v="3"/>
    <n v="16"/>
    <n v="80"/>
    <n v="1280"/>
    <n v="0.05"/>
    <n v="64"/>
    <n v="1216"/>
    <x v="0"/>
  </r>
  <r>
    <x v="71"/>
    <x v="6"/>
    <x v="1"/>
    <x v="2"/>
    <n v="4"/>
    <n v="40"/>
    <n v="160"/>
    <n v="0.06"/>
    <n v="9.6"/>
    <n v="150"/>
    <x v="1"/>
  </r>
  <r>
    <x v="72"/>
    <x v="6"/>
    <x v="1"/>
    <x v="1"/>
    <n v="4"/>
    <n v="40"/>
    <n v="160"/>
    <n v="0.03"/>
    <n v="4.8"/>
    <n v="155"/>
    <x v="2"/>
  </r>
  <r>
    <x v="73"/>
    <x v="6"/>
    <x v="1"/>
    <x v="1"/>
    <n v="15"/>
    <n v="40"/>
    <n v="600"/>
    <n v="0.02"/>
    <n v="12"/>
    <n v="588"/>
    <x v="3"/>
  </r>
  <r>
    <x v="74"/>
    <x v="6"/>
    <x v="1"/>
    <x v="2"/>
    <n v="20"/>
    <n v="40"/>
    <n v="800"/>
    <n v="0.01"/>
    <n v="8"/>
    <n v="792"/>
    <x v="4"/>
  </r>
  <r>
    <x v="75"/>
    <x v="6"/>
    <x v="3"/>
    <x v="4"/>
    <n v="14"/>
    <n v="16"/>
    <n v="224"/>
    <n v="0.06"/>
    <n v="13.44"/>
    <n v="211"/>
    <x v="5"/>
  </r>
  <r>
    <x v="76"/>
    <x v="7"/>
    <x v="4"/>
    <x v="2"/>
    <n v="11"/>
    <n v="150"/>
    <n v="1650"/>
    <n v="0.11"/>
    <n v="181.5"/>
    <n v="1468"/>
    <x v="6"/>
  </r>
  <r>
    <x v="77"/>
    <x v="7"/>
    <x v="4"/>
    <x v="2"/>
    <n v="9"/>
    <n v="150"/>
    <n v="1350"/>
    <n v="0.02"/>
    <n v="27"/>
    <n v="1323"/>
    <x v="7"/>
  </r>
  <r>
    <x v="78"/>
    <x v="7"/>
    <x v="3"/>
    <x v="4"/>
    <n v="11"/>
    <n v="16"/>
    <n v="176"/>
    <n v="0.12"/>
    <n v="21.119999999999997"/>
    <n v="155"/>
    <x v="8"/>
  </r>
  <r>
    <x v="79"/>
    <x v="7"/>
    <x v="1"/>
    <x v="2"/>
    <n v="13"/>
    <n v="40"/>
    <n v="520"/>
    <n v="0.02"/>
    <n v="10.4"/>
    <n v="510"/>
    <x v="9"/>
  </r>
  <r>
    <x v="80"/>
    <x v="7"/>
    <x v="1"/>
    <x v="2"/>
    <n v="4"/>
    <n v="40"/>
    <n v="160"/>
    <n v="0.1"/>
    <n v="16"/>
    <n v="144"/>
    <x v="10"/>
  </r>
  <r>
    <x v="81"/>
    <x v="7"/>
    <x v="2"/>
    <x v="0"/>
    <n v="3"/>
    <n v="230"/>
    <n v="690"/>
    <n v="0.11"/>
    <n v="75.900000000000006"/>
    <n v="614"/>
    <x v="11"/>
  </r>
  <r>
    <x v="82"/>
    <x v="7"/>
    <x v="0"/>
    <x v="2"/>
    <n v="6"/>
    <n v="80"/>
    <n v="480"/>
    <n v="0.09"/>
    <n v="43.199999999999996"/>
    <n v="437"/>
    <x v="0"/>
  </r>
  <r>
    <x v="83"/>
    <x v="7"/>
    <x v="4"/>
    <x v="0"/>
    <n v="9"/>
    <n v="150"/>
    <n v="1350"/>
    <n v="0.1"/>
    <n v="135"/>
    <n v="1215"/>
    <x v="1"/>
  </r>
  <r>
    <x v="84"/>
    <x v="7"/>
    <x v="0"/>
    <x v="1"/>
    <n v="14"/>
    <n v="80"/>
    <n v="1120"/>
    <n v="0.11"/>
    <n v="123.2"/>
    <n v="997"/>
    <x v="2"/>
  </r>
  <r>
    <x v="85"/>
    <x v="7"/>
    <x v="0"/>
    <x v="0"/>
    <n v="18"/>
    <n v="80"/>
    <n v="1440"/>
    <n v="0.02"/>
    <n v="28.8"/>
    <n v="1411"/>
    <x v="3"/>
  </r>
  <r>
    <x v="86"/>
    <x v="7"/>
    <x v="1"/>
    <x v="0"/>
    <n v="20"/>
    <n v="40"/>
    <n v="800"/>
    <n v="0.04"/>
    <n v="32"/>
    <n v="768"/>
    <x v="4"/>
  </r>
  <r>
    <x v="87"/>
    <x v="8"/>
    <x v="3"/>
    <x v="2"/>
    <n v="8"/>
    <n v="16"/>
    <n v="128"/>
    <n v="0.03"/>
    <n v="3.84"/>
    <n v="124"/>
    <x v="5"/>
  </r>
  <r>
    <x v="88"/>
    <x v="8"/>
    <x v="0"/>
    <x v="1"/>
    <n v="14"/>
    <n v="80"/>
    <n v="1120"/>
    <n v="0.06"/>
    <n v="67.2"/>
    <n v="1053"/>
    <x v="6"/>
  </r>
  <r>
    <x v="89"/>
    <x v="8"/>
    <x v="4"/>
    <x v="0"/>
    <n v="20"/>
    <n v="150"/>
    <n v="3000"/>
    <n v="0.01"/>
    <n v="30"/>
    <n v="2970"/>
    <x v="7"/>
  </r>
  <r>
    <x v="90"/>
    <x v="8"/>
    <x v="1"/>
    <x v="3"/>
    <n v="15"/>
    <n v="40"/>
    <n v="600"/>
    <n v="0.03"/>
    <n v="18"/>
    <n v="582"/>
    <x v="8"/>
  </r>
  <r>
    <x v="91"/>
    <x v="8"/>
    <x v="1"/>
    <x v="1"/>
    <n v="18"/>
    <n v="40"/>
    <n v="720"/>
    <n v="0.08"/>
    <n v="57.6"/>
    <n v="662"/>
    <x v="9"/>
  </r>
  <r>
    <x v="92"/>
    <x v="8"/>
    <x v="1"/>
    <x v="4"/>
    <n v="11"/>
    <n v="40"/>
    <n v="440"/>
    <n v="0.05"/>
    <n v="22"/>
    <n v="418"/>
    <x v="10"/>
  </r>
  <r>
    <x v="93"/>
    <x v="9"/>
    <x v="1"/>
    <x v="4"/>
    <n v="23"/>
    <n v="40"/>
    <n v="920"/>
    <n v="0.04"/>
    <n v="36.800000000000004"/>
    <n v="883"/>
    <x v="11"/>
  </r>
  <r>
    <x v="94"/>
    <x v="9"/>
    <x v="3"/>
    <x v="4"/>
    <n v="17"/>
    <n v="16"/>
    <n v="272"/>
    <n v="0.1"/>
    <n v="27.200000000000003"/>
    <n v="245"/>
    <x v="0"/>
  </r>
  <r>
    <x v="95"/>
    <x v="9"/>
    <x v="3"/>
    <x v="1"/>
    <n v="4"/>
    <n v="16"/>
    <n v="64"/>
    <n v="7.0000000000000007E-2"/>
    <n v="4.4800000000000004"/>
    <n v="60"/>
    <x v="1"/>
  </r>
  <r>
    <x v="96"/>
    <x v="9"/>
    <x v="0"/>
    <x v="2"/>
    <n v="23"/>
    <n v="80"/>
    <n v="1840"/>
    <n v="0.05"/>
    <n v="92"/>
    <n v="1748"/>
    <x v="2"/>
  </r>
  <r>
    <x v="97"/>
    <x v="9"/>
    <x v="2"/>
    <x v="2"/>
    <n v="10"/>
    <n v="230"/>
    <n v="2300"/>
    <n v="0.02"/>
    <n v="46"/>
    <n v="2254"/>
    <x v="3"/>
  </r>
  <r>
    <x v="98"/>
    <x v="9"/>
    <x v="3"/>
    <x v="2"/>
    <n v="14"/>
    <n v="16"/>
    <n v="224"/>
    <n v="0.01"/>
    <n v="2.2400000000000002"/>
    <n v="222"/>
    <x v="4"/>
  </r>
  <r>
    <x v="99"/>
    <x v="9"/>
    <x v="1"/>
    <x v="1"/>
    <n v="19"/>
    <n v="40"/>
    <n v="760"/>
    <n v="0.1"/>
    <n v="76"/>
    <n v="684"/>
    <x v="5"/>
  </r>
  <r>
    <x v="100"/>
    <x v="9"/>
    <x v="0"/>
    <x v="4"/>
    <n v="22"/>
    <n v="80"/>
    <n v="1760"/>
    <n v="0.09"/>
    <n v="158.4"/>
    <n v="1602"/>
    <x v="6"/>
  </r>
  <r>
    <x v="101"/>
    <x v="9"/>
    <x v="3"/>
    <x v="0"/>
    <n v="18"/>
    <n v="16"/>
    <n v="288"/>
    <n v="0.05"/>
    <n v="14.4"/>
    <n v="274"/>
    <x v="7"/>
  </r>
  <r>
    <x v="102"/>
    <x v="9"/>
    <x v="1"/>
    <x v="0"/>
    <n v="18"/>
    <n v="40"/>
    <n v="720"/>
    <n v="0.11"/>
    <n v="79.2"/>
    <n v="641"/>
    <x v="8"/>
  </r>
  <r>
    <x v="103"/>
    <x v="9"/>
    <x v="1"/>
    <x v="4"/>
    <n v="21"/>
    <n v="40"/>
    <n v="840"/>
    <n v="0.01"/>
    <n v="8.4"/>
    <n v="832"/>
    <x v="9"/>
  </r>
  <r>
    <x v="104"/>
    <x v="9"/>
    <x v="0"/>
    <x v="0"/>
    <n v="6"/>
    <n v="80"/>
    <n v="480"/>
    <n v="7.0000000000000007E-2"/>
    <n v="33.6"/>
    <n v="446"/>
    <x v="10"/>
  </r>
  <r>
    <x v="105"/>
    <x v="9"/>
    <x v="4"/>
    <x v="4"/>
    <n v="17"/>
    <n v="150"/>
    <n v="2550"/>
    <n v="0.02"/>
    <n v="51"/>
    <n v="2499"/>
    <x v="11"/>
  </r>
  <r>
    <x v="106"/>
    <x v="9"/>
    <x v="0"/>
    <x v="2"/>
    <n v="16"/>
    <n v="80"/>
    <n v="1280"/>
    <n v="0.02"/>
    <n v="25.6"/>
    <n v="1254"/>
    <x v="0"/>
  </r>
  <r>
    <x v="107"/>
    <x v="9"/>
    <x v="1"/>
    <x v="1"/>
    <n v="15"/>
    <n v="40"/>
    <n v="600"/>
    <n v="0.04"/>
    <n v="24"/>
    <n v="576"/>
    <x v="1"/>
  </r>
  <r>
    <x v="108"/>
    <x v="9"/>
    <x v="2"/>
    <x v="3"/>
    <n v="2"/>
    <n v="230"/>
    <n v="460"/>
    <n v="0.08"/>
    <n v="36.800000000000004"/>
    <n v="423"/>
    <x v="2"/>
  </r>
  <r>
    <x v="109"/>
    <x v="9"/>
    <x v="1"/>
    <x v="4"/>
    <n v="3"/>
    <n v="40"/>
    <n v="120"/>
    <n v="0.03"/>
    <n v="3.5999999999999996"/>
    <n v="116"/>
    <x v="3"/>
  </r>
  <r>
    <x v="110"/>
    <x v="9"/>
    <x v="2"/>
    <x v="4"/>
    <n v="21"/>
    <n v="230"/>
    <n v="4830"/>
    <n v="0.05"/>
    <n v="241.5"/>
    <n v="4588"/>
    <x v="4"/>
  </r>
  <r>
    <x v="111"/>
    <x v="9"/>
    <x v="4"/>
    <x v="0"/>
    <n v="11"/>
    <n v="150"/>
    <n v="1650"/>
    <n v="0.05"/>
    <n v="82.5"/>
    <n v="1568"/>
    <x v="5"/>
  </r>
  <r>
    <x v="112"/>
    <x v="10"/>
    <x v="4"/>
    <x v="1"/>
    <n v="15"/>
    <n v="150"/>
    <n v="2250"/>
    <n v="0.02"/>
    <n v="45"/>
    <n v="2205"/>
    <x v="6"/>
  </r>
  <r>
    <x v="113"/>
    <x v="10"/>
    <x v="0"/>
    <x v="3"/>
    <n v="16"/>
    <n v="80"/>
    <n v="1280"/>
    <n v="0.1"/>
    <n v="128"/>
    <n v="1152"/>
    <x v="7"/>
  </r>
  <r>
    <x v="114"/>
    <x v="10"/>
    <x v="2"/>
    <x v="4"/>
    <n v="17"/>
    <n v="230"/>
    <n v="3910"/>
    <n v="0.11"/>
    <n v="430.1"/>
    <n v="3480"/>
    <x v="8"/>
  </r>
  <r>
    <x v="115"/>
    <x v="10"/>
    <x v="1"/>
    <x v="4"/>
    <n v="16"/>
    <n v="40"/>
    <n v="640"/>
    <n v="0.11"/>
    <n v="70.400000000000006"/>
    <n v="570"/>
    <x v="9"/>
  </r>
  <r>
    <x v="116"/>
    <x v="10"/>
    <x v="0"/>
    <x v="3"/>
    <n v="2"/>
    <n v="80"/>
    <n v="160"/>
    <n v="0.08"/>
    <n v="12.8"/>
    <n v="147"/>
    <x v="10"/>
  </r>
  <r>
    <x v="117"/>
    <x v="10"/>
    <x v="4"/>
    <x v="1"/>
    <n v="22"/>
    <n v="150"/>
    <n v="3300"/>
    <n v="0.02"/>
    <n v="66"/>
    <n v="3234"/>
    <x v="11"/>
  </r>
  <r>
    <x v="118"/>
    <x v="10"/>
    <x v="0"/>
    <x v="0"/>
    <n v="16"/>
    <n v="80"/>
    <n v="1280"/>
    <n v="0.03"/>
    <n v="38.4"/>
    <n v="1242"/>
    <x v="0"/>
  </r>
  <r>
    <x v="119"/>
    <x v="11"/>
    <x v="3"/>
    <x v="0"/>
    <n v="20"/>
    <n v="16"/>
    <n v="320"/>
    <n v="0.11"/>
    <n v="35.200000000000003"/>
    <n v="285"/>
    <x v="1"/>
  </r>
  <r>
    <x v="120"/>
    <x v="11"/>
    <x v="0"/>
    <x v="4"/>
    <n v="9"/>
    <n v="80"/>
    <n v="720"/>
    <n v="7.0000000000000007E-2"/>
    <n v="50.400000000000006"/>
    <n v="670"/>
    <x v="2"/>
  </r>
  <r>
    <x v="121"/>
    <x v="11"/>
    <x v="2"/>
    <x v="4"/>
    <n v="5"/>
    <n v="230"/>
    <n v="1150"/>
    <n v="0.12"/>
    <n v="138"/>
    <n v="1012"/>
    <x v="3"/>
  </r>
  <r>
    <x v="122"/>
    <x v="11"/>
    <x v="3"/>
    <x v="0"/>
    <n v="20"/>
    <n v="16"/>
    <n v="320"/>
    <n v="0.01"/>
    <n v="3.2"/>
    <n v="317"/>
    <x v="4"/>
  </r>
  <r>
    <x v="123"/>
    <x v="11"/>
    <x v="3"/>
    <x v="0"/>
    <n v="16"/>
    <n v="16"/>
    <n v="256"/>
    <n v="0.03"/>
    <n v="7.68"/>
    <n v="248"/>
    <x v="5"/>
  </r>
  <r>
    <x v="124"/>
    <x v="11"/>
    <x v="4"/>
    <x v="3"/>
    <n v="15"/>
    <n v="150"/>
    <n v="2250"/>
    <n v="0.05"/>
    <n v="112.5"/>
    <n v="2138"/>
    <x v="6"/>
  </r>
  <r>
    <x v="125"/>
    <x v="11"/>
    <x v="2"/>
    <x v="1"/>
    <n v="19"/>
    <n v="230"/>
    <n v="4370"/>
    <n v="0.11"/>
    <n v="480.7"/>
    <n v="3889"/>
    <x v="7"/>
  </r>
  <r>
    <x v="126"/>
    <x v="12"/>
    <x v="4"/>
    <x v="2"/>
    <n v="2"/>
    <n v="150"/>
    <n v="300"/>
    <n v="0.02"/>
    <n v="6"/>
    <n v="294"/>
    <x v="8"/>
  </r>
  <r>
    <x v="127"/>
    <x v="12"/>
    <x v="0"/>
    <x v="4"/>
    <n v="16"/>
    <n v="80"/>
    <n v="1280"/>
    <n v="0.05"/>
    <n v="64"/>
    <n v="1216"/>
    <x v="9"/>
  </r>
  <r>
    <x v="128"/>
    <x v="12"/>
    <x v="1"/>
    <x v="2"/>
    <n v="2"/>
    <n v="40"/>
    <n v="80"/>
    <n v="0.03"/>
    <n v="2.4"/>
    <n v="78"/>
    <x v="10"/>
  </r>
  <r>
    <x v="129"/>
    <x v="12"/>
    <x v="0"/>
    <x v="1"/>
    <n v="5"/>
    <n v="80"/>
    <n v="400"/>
    <n v="0.04"/>
    <n v="16"/>
    <n v="384"/>
    <x v="11"/>
  </r>
  <r>
    <x v="130"/>
    <x v="12"/>
    <x v="2"/>
    <x v="3"/>
    <n v="17"/>
    <n v="230"/>
    <n v="3910"/>
    <n v="0.12"/>
    <n v="469.2"/>
    <n v="3441"/>
    <x v="0"/>
  </r>
  <r>
    <x v="131"/>
    <x v="12"/>
    <x v="0"/>
    <x v="0"/>
    <n v="8"/>
    <n v="80"/>
    <n v="640"/>
    <n v="0.08"/>
    <n v="51.2"/>
    <n v="589"/>
    <x v="1"/>
  </r>
  <r>
    <x v="132"/>
    <x v="12"/>
    <x v="1"/>
    <x v="1"/>
    <n v="4"/>
    <n v="40"/>
    <n v="160"/>
    <n v="0.06"/>
    <n v="9.6"/>
    <n v="150"/>
    <x v="2"/>
  </r>
  <r>
    <x v="133"/>
    <x v="12"/>
    <x v="3"/>
    <x v="2"/>
    <n v="17"/>
    <n v="16"/>
    <n v="272"/>
    <n v="0.05"/>
    <n v="13.600000000000001"/>
    <n v="258"/>
    <x v="3"/>
  </r>
  <r>
    <x v="134"/>
    <x v="12"/>
    <x v="2"/>
    <x v="3"/>
    <n v="8"/>
    <n v="230"/>
    <n v="1840"/>
    <n v="0.01"/>
    <n v="18.400000000000002"/>
    <n v="1822"/>
    <x v="4"/>
  </r>
  <r>
    <x v="135"/>
    <x v="12"/>
    <x v="3"/>
    <x v="4"/>
    <n v="19"/>
    <n v="16"/>
    <n v="304"/>
    <n v="0.02"/>
    <n v="6.08"/>
    <n v="298"/>
    <x v="5"/>
  </r>
  <r>
    <x v="136"/>
    <x v="13"/>
    <x v="1"/>
    <x v="0"/>
    <n v="18"/>
    <n v="40"/>
    <n v="720"/>
    <n v="0.06"/>
    <n v="43.199999999999996"/>
    <n v="677"/>
    <x v="6"/>
  </r>
  <r>
    <x v="137"/>
    <x v="13"/>
    <x v="4"/>
    <x v="4"/>
    <n v="23"/>
    <n v="150"/>
    <n v="3450"/>
    <n v="0.08"/>
    <n v="276"/>
    <n v="3174"/>
    <x v="7"/>
  </r>
  <r>
    <x v="138"/>
    <x v="13"/>
    <x v="2"/>
    <x v="0"/>
    <n v="5"/>
    <n v="230"/>
    <n v="1150"/>
    <n v="0.1"/>
    <n v="115"/>
    <n v="1035"/>
    <x v="8"/>
  </r>
  <r>
    <x v="139"/>
    <x v="13"/>
    <x v="0"/>
    <x v="3"/>
    <n v="21"/>
    <n v="80"/>
    <n v="1680"/>
    <n v="0.02"/>
    <n v="33.6"/>
    <n v="1646"/>
    <x v="9"/>
  </r>
  <r>
    <x v="140"/>
    <x v="13"/>
    <x v="3"/>
    <x v="2"/>
    <n v="6"/>
    <n v="16"/>
    <n v="96"/>
    <n v="7.0000000000000007E-2"/>
    <n v="6.7200000000000006"/>
    <n v="89"/>
    <x v="0"/>
  </r>
  <r>
    <x v="141"/>
    <x v="13"/>
    <x v="1"/>
    <x v="0"/>
    <n v="9"/>
    <n v="40"/>
    <n v="360"/>
    <n v="0.01"/>
    <n v="3.6"/>
    <n v="356"/>
    <x v="1"/>
  </r>
  <r>
    <x v="142"/>
    <x v="13"/>
    <x v="2"/>
    <x v="1"/>
    <n v="9"/>
    <n v="230"/>
    <n v="2070"/>
    <n v="0.03"/>
    <n v="62.099999999999994"/>
    <n v="2008"/>
    <x v="2"/>
  </r>
  <r>
    <x v="143"/>
    <x v="13"/>
    <x v="2"/>
    <x v="2"/>
    <n v="5"/>
    <n v="230"/>
    <n v="1150"/>
    <n v="0.1"/>
    <n v="115"/>
    <n v="1035"/>
    <x v="3"/>
  </r>
  <r>
    <x v="144"/>
    <x v="13"/>
    <x v="1"/>
    <x v="3"/>
    <n v="7"/>
    <n v="40"/>
    <n v="280"/>
    <n v="0.11"/>
    <n v="30.8"/>
    <n v="249"/>
    <x v="4"/>
  </r>
  <r>
    <x v="145"/>
    <x v="13"/>
    <x v="2"/>
    <x v="0"/>
    <n v="20"/>
    <n v="230"/>
    <n v="4600"/>
    <n v="0.04"/>
    <n v="184"/>
    <n v="4416"/>
    <x v="5"/>
  </r>
  <r>
    <x v="146"/>
    <x v="13"/>
    <x v="4"/>
    <x v="0"/>
    <n v="22"/>
    <n v="150"/>
    <n v="3300"/>
    <n v="7.0000000000000007E-2"/>
    <n v="231.00000000000003"/>
    <n v="3069"/>
    <x v="6"/>
  </r>
  <r>
    <x v="147"/>
    <x v="14"/>
    <x v="2"/>
    <x v="2"/>
    <n v="6"/>
    <n v="230"/>
    <n v="1380"/>
    <n v="0.05"/>
    <n v="69"/>
    <n v="1311"/>
    <x v="7"/>
  </r>
  <r>
    <x v="148"/>
    <x v="14"/>
    <x v="2"/>
    <x v="2"/>
    <n v="15"/>
    <n v="230"/>
    <n v="3450"/>
    <n v="0.11"/>
    <n v="379.5"/>
    <n v="3070"/>
    <x v="8"/>
  </r>
  <r>
    <x v="149"/>
    <x v="14"/>
    <x v="1"/>
    <x v="1"/>
    <n v="8"/>
    <n v="40"/>
    <n v="320"/>
    <n v="0.09"/>
    <n v="28.799999999999997"/>
    <n v="291"/>
    <x v="9"/>
  </r>
  <r>
    <x v="150"/>
    <x v="14"/>
    <x v="1"/>
    <x v="0"/>
    <n v="5"/>
    <n v="40"/>
    <n v="200"/>
    <n v="0.06"/>
    <n v="12"/>
    <n v="188"/>
    <x v="10"/>
  </r>
  <r>
    <x v="151"/>
    <x v="14"/>
    <x v="0"/>
    <x v="4"/>
    <n v="6"/>
    <n v="80"/>
    <n v="480"/>
    <n v="0.09"/>
    <n v="43.199999999999996"/>
    <n v="437"/>
    <x v="11"/>
  </r>
  <r>
    <x v="152"/>
    <x v="14"/>
    <x v="1"/>
    <x v="3"/>
    <n v="22"/>
    <n v="40"/>
    <n v="880"/>
    <n v="0.01"/>
    <n v="8.8000000000000007"/>
    <n v="871"/>
    <x v="0"/>
  </r>
  <r>
    <x v="153"/>
    <x v="14"/>
    <x v="3"/>
    <x v="0"/>
    <n v="7"/>
    <n v="16"/>
    <n v="112"/>
    <n v="0.08"/>
    <n v="8.9600000000000009"/>
    <n v="103"/>
    <x v="1"/>
  </r>
  <r>
    <x v="154"/>
    <x v="14"/>
    <x v="4"/>
    <x v="2"/>
    <n v="22"/>
    <n v="150"/>
    <n v="3300"/>
    <n v="0.04"/>
    <n v="132"/>
    <n v="3168"/>
    <x v="2"/>
  </r>
  <r>
    <x v="155"/>
    <x v="14"/>
    <x v="3"/>
    <x v="3"/>
    <n v="15"/>
    <n v="16"/>
    <n v="240"/>
    <n v="0.12"/>
    <n v="28.799999999999997"/>
    <n v="211"/>
    <x v="3"/>
  </r>
  <r>
    <x v="156"/>
    <x v="14"/>
    <x v="0"/>
    <x v="2"/>
    <n v="20"/>
    <n v="80"/>
    <n v="1600"/>
    <n v="7.0000000000000007E-2"/>
    <n v="112.00000000000001"/>
    <n v="1488"/>
    <x v="4"/>
  </r>
  <r>
    <x v="157"/>
    <x v="14"/>
    <x v="0"/>
    <x v="2"/>
    <n v="7"/>
    <n v="80"/>
    <n v="560"/>
    <n v="0.05"/>
    <n v="28"/>
    <n v="532"/>
    <x v="5"/>
  </r>
  <r>
    <x v="158"/>
    <x v="14"/>
    <x v="0"/>
    <x v="1"/>
    <n v="10"/>
    <n v="80"/>
    <n v="800"/>
    <n v="0.11"/>
    <n v="88"/>
    <n v="712"/>
    <x v="6"/>
  </r>
  <r>
    <x v="159"/>
    <x v="14"/>
    <x v="0"/>
    <x v="1"/>
    <n v="2"/>
    <n v="80"/>
    <n v="160"/>
    <n v="7.0000000000000007E-2"/>
    <n v="11.200000000000001"/>
    <n v="149"/>
    <x v="7"/>
  </r>
  <r>
    <x v="160"/>
    <x v="14"/>
    <x v="3"/>
    <x v="4"/>
    <n v="23"/>
    <n v="16"/>
    <n v="368"/>
    <n v="0.01"/>
    <n v="3.68"/>
    <n v="364"/>
    <x v="8"/>
  </r>
  <r>
    <x v="161"/>
    <x v="14"/>
    <x v="2"/>
    <x v="1"/>
    <n v="12"/>
    <n v="230"/>
    <n v="2760"/>
    <n v="0.03"/>
    <n v="82.8"/>
    <n v="2677"/>
    <x v="9"/>
  </r>
  <r>
    <x v="162"/>
    <x v="15"/>
    <x v="2"/>
    <x v="0"/>
    <n v="7"/>
    <n v="230"/>
    <n v="1610"/>
    <n v="0.08"/>
    <n v="128.80000000000001"/>
    <n v="1481"/>
    <x v="10"/>
  </r>
  <r>
    <x v="163"/>
    <x v="15"/>
    <x v="1"/>
    <x v="3"/>
    <n v="11"/>
    <n v="40"/>
    <n v="440"/>
    <n v="0.06"/>
    <n v="26.4"/>
    <n v="414"/>
    <x v="11"/>
  </r>
  <r>
    <x v="164"/>
    <x v="15"/>
    <x v="2"/>
    <x v="1"/>
    <n v="7"/>
    <n v="230"/>
    <n v="1610"/>
    <n v="0.08"/>
    <n v="128.80000000000001"/>
    <n v="1481"/>
    <x v="0"/>
  </r>
  <r>
    <x v="165"/>
    <x v="15"/>
    <x v="0"/>
    <x v="0"/>
    <n v="8"/>
    <n v="80"/>
    <n v="640"/>
    <n v="0.09"/>
    <n v="57.599999999999994"/>
    <n v="582"/>
    <x v="1"/>
  </r>
  <r>
    <x v="166"/>
    <x v="15"/>
    <x v="0"/>
    <x v="3"/>
    <n v="16"/>
    <n v="80"/>
    <n v="1280"/>
    <n v="7.0000000000000007E-2"/>
    <n v="89.600000000000009"/>
    <n v="1190"/>
    <x v="2"/>
  </r>
  <r>
    <x v="167"/>
    <x v="15"/>
    <x v="0"/>
    <x v="2"/>
    <n v="16"/>
    <n v="80"/>
    <n v="1280"/>
    <n v="0.04"/>
    <n v="51.2"/>
    <n v="1229"/>
    <x v="3"/>
  </r>
  <r>
    <x v="168"/>
    <x v="15"/>
    <x v="3"/>
    <x v="2"/>
    <n v="9"/>
    <n v="16"/>
    <n v="144"/>
    <n v="0.05"/>
    <n v="7.2"/>
    <n v="137"/>
    <x v="4"/>
  </r>
  <r>
    <x v="169"/>
    <x v="15"/>
    <x v="4"/>
    <x v="4"/>
    <n v="11"/>
    <n v="150"/>
    <n v="1650"/>
    <n v="0.09"/>
    <n v="148.5"/>
    <n v="1502"/>
    <x v="5"/>
  </r>
  <r>
    <x v="170"/>
    <x v="15"/>
    <x v="3"/>
    <x v="0"/>
    <n v="4"/>
    <n v="16"/>
    <n v="64"/>
    <n v="0.12"/>
    <n v="7.68"/>
    <n v="56"/>
    <x v="6"/>
  </r>
  <r>
    <x v="171"/>
    <x v="15"/>
    <x v="1"/>
    <x v="3"/>
    <n v="15"/>
    <n v="40"/>
    <n v="600"/>
    <n v="0.03"/>
    <n v="18"/>
    <n v="582"/>
    <x v="7"/>
  </r>
  <r>
    <x v="172"/>
    <x v="15"/>
    <x v="1"/>
    <x v="4"/>
    <n v="20"/>
    <n v="40"/>
    <n v="800"/>
    <n v="0.03"/>
    <n v="24"/>
    <n v="776"/>
    <x v="8"/>
  </r>
  <r>
    <x v="173"/>
    <x v="16"/>
    <x v="4"/>
    <x v="2"/>
    <n v="9"/>
    <n v="150"/>
    <n v="1350"/>
    <n v="0.06"/>
    <n v="81"/>
    <n v="1269"/>
    <x v="9"/>
  </r>
  <r>
    <x v="174"/>
    <x v="16"/>
    <x v="1"/>
    <x v="1"/>
    <n v="23"/>
    <n v="40"/>
    <n v="920"/>
    <n v="0.06"/>
    <n v="55.199999999999996"/>
    <n v="865"/>
    <x v="10"/>
  </r>
  <r>
    <x v="175"/>
    <x v="16"/>
    <x v="0"/>
    <x v="4"/>
    <n v="13"/>
    <n v="80"/>
    <n v="1040"/>
    <n v="0.05"/>
    <n v="52"/>
    <n v="988"/>
    <x v="11"/>
  </r>
  <r>
    <x v="176"/>
    <x v="16"/>
    <x v="3"/>
    <x v="0"/>
    <n v="22"/>
    <n v="16"/>
    <n v="352"/>
    <n v="0.01"/>
    <n v="3.52"/>
    <n v="348"/>
    <x v="0"/>
  </r>
  <r>
    <x v="177"/>
    <x v="16"/>
    <x v="1"/>
    <x v="0"/>
    <n v="19"/>
    <n v="40"/>
    <n v="760"/>
    <n v="0.04"/>
    <n v="30.400000000000002"/>
    <n v="730"/>
    <x v="1"/>
  </r>
  <r>
    <x v="178"/>
    <x v="16"/>
    <x v="0"/>
    <x v="3"/>
    <n v="4"/>
    <n v="80"/>
    <n v="320"/>
    <n v="0.11"/>
    <n v="35.200000000000003"/>
    <n v="285"/>
    <x v="2"/>
  </r>
  <r>
    <x v="179"/>
    <x v="16"/>
    <x v="3"/>
    <x v="0"/>
    <n v="12"/>
    <n v="16"/>
    <n v="192"/>
    <n v="0.11"/>
    <n v="21.12"/>
    <n v="171"/>
    <x v="3"/>
  </r>
  <r>
    <x v="180"/>
    <x v="16"/>
    <x v="4"/>
    <x v="1"/>
    <n v="16"/>
    <n v="150"/>
    <n v="2400"/>
    <n v="0.08"/>
    <n v="192"/>
    <n v="2208"/>
    <x v="4"/>
  </r>
  <r>
    <x v="181"/>
    <x v="16"/>
    <x v="0"/>
    <x v="0"/>
    <n v="7"/>
    <n v="80"/>
    <n v="560"/>
    <n v="0.02"/>
    <n v="11.200000000000001"/>
    <n v="549"/>
    <x v="5"/>
  </r>
  <r>
    <x v="182"/>
    <x v="16"/>
    <x v="1"/>
    <x v="4"/>
    <n v="20"/>
    <n v="40"/>
    <n v="800"/>
    <n v="7.0000000000000007E-2"/>
    <n v="56.000000000000007"/>
    <n v="744"/>
    <x v="6"/>
  </r>
  <r>
    <x v="183"/>
    <x v="16"/>
    <x v="0"/>
    <x v="1"/>
    <n v="15"/>
    <n v="80"/>
    <n v="1200"/>
    <n v="0.12"/>
    <n v="144"/>
    <n v="1056"/>
    <x v="7"/>
  </r>
  <r>
    <x v="184"/>
    <x v="16"/>
    <x v="1"/>
    <x v="0"/>
    <n v="5"/>
    <n v="40"/>
    <n v="200"/>
    <n v="0.09"/>
    <n v="18"/>
    <n v="182"/>
    <x v="8"/>
  </r>
  <r>
    <x v="185"/>
    <x v="16"/>
    <x v="3"/>
    <x v="4"/>
    <n v="12"/>
    <n v="16"/>
    <n v="192"/>
    <n v="0.04"/>
    <n v="7.68"/>
    <n v="184"/>
    <x v="9"/>
  </r>
  <r>
    <x v="186"/>
    <x v="17"/>
    <x v="4"/>
    <x v="3"/>
    <n v="3"/>
    <n v="150"/>
    <n v="450"/>
    <n v="0.01"/>
    <n v="4.5"/>
    <n v="446"/>
    <x v="10"/>
  </r>
  <r>
    <x v="187"/>
    <x v="17"/>
    <x v="1"/>
    <x v="4"/>
    <n v="7"/>
    <n v="40"/>
    <n v="280"/>
    <n v="0.12"/>
    <n v="33.6"/>
    <n v="246"/>
    <x v="11"/>
  </r>
  <r>
    <x v="188"/>
    <x v="17"/>
    <x v="0"/>
    <x v="1"/>
    <n v="2"/>
    <n v="80"/>
    <n v="160"/>
    <n v="0.04"/>
    <n v="6.4"/>
    <n v="154"/>
    <x v="0"/>
  </r>
  <r>
    <x v="189"/>
    <x v="17"/>
    <x v="1"/>
    <x v="3"/>
    <n v="6"/>
    <n v="40"/>
    <n v="240"/>
    <n v="7.0000000000000007E-2"/>
    <n v="16.8"/>
    <n v="223"/>
    <x v="1"/>
  </r>
  <r>
    <x v="190"/>
    <x v="17"/>
    <x v="3"/>
    <x v="2"/>
    <n v="6"/>
    <n v="16"/>
    <n v="96"/>
    <n v="0.06"/>
    <n v="5.76"/>
    <n v="90"/>
    <x v="2"/>
  </r>
  <r>
    <x v="191"/>
    <x v="17"/>
    <x v="3"/>
    <x v="0"/>
    <n v="7"/>
    <n v="16"/>
    <n v="112"/>
    <n v="0.02"/>
    <n v="2.2400000000000002"/>
    <n v="110"/>
    <x v="3"/>
  </r>
  <r>
    <x v="192"/>
    <x v="17"/>
    <x v="3"/>
    <x v="1"/>
    <n v="20"/>
    <n v="16"/>
    <n v="320"/>
    <n v="0.06"/>
    <n v="19.2"/>
    <n v="301"/>
    <x v="4"/>
  </r>
  <r>
    <x v="193"/>
    <x v="17"/>
    <x v="3"/>
    <x v="1"/>
    <n v="21"/>
    <n v="16"/>
    <n v="336"/>
    <n v="0.02"/>
    <n v="6.72"/>
    <n v="329"/>
    <x v="5"/>
  </r>
  <r>
    <x v="194"/>
    <x v="17"/>
    <x v="0"/>
    <x v="3"/>
    <n v="21"/>
    <n v="80"/>
    <n v="1680"/>
    <n v="0.05"/>
    <n v="84"/>
    <n v="1596"/>
    <x v="6"/>
  </r>
  <r>
    <x v="195"/>
    <x v="17"/>
    <x v="3"/>
    <x v="3"/>
    <n v="10"/>
    <n v="16"/>
    <n v="160"/>
    <n v="0.01"/>
    <n v="1.6"/>
    <n v="158"/>
    <x v="7"/>
  </r>
  <r>
    <x v="196"/>
    <x v="18"/>
    <x v="2"/>
    <x v="3"/>
    <n v="2"/>
    <n v="230"/>
    <n v="460"/>
    <n v="0.09"/>
    <n v="41.4"/>
    <n v="419"/>
    <x v="8"/>
  </r>
  <r>
    <x v="197"/>
    <x v="18"/>
    <x v="4"/>
    <x v="0"/>
    <n v="20"/>
    <n v="150"/>
    <n v="3000"/>
    <n v="0.03"/>
    <n v="90"/>
    <n v="2910"/>
    <x v="9"/>
  </r>
  <r>
    <x v="198"/>
    <x v="18"/>
    <x v="1"/>
    <x v="0"/>
    <n v="23"/>
    <n v="40"/>
    <n v="920"/>
    <n v="0.03"/>
    <n v="27.599999999999998"/>
    <n v="892"/>
    <x v="10"/>
  </r>
  <r>
    <x v="199"/>
    <x v="18"/>
    <x v="0"/>
    <x v="3"/>
    <n v="17"/>
    <n v="80"/>
    <n v="1360"/>
    <n v="0.05"/>
    <n v="68"/>
    <n v="1292"/>
    <x v="11"/>
  </r>
  <r>
    <x v="200"/>
    <x v="18"/>
    <x v="2"/>
    <x v="3"/>
    <n v="11"/>
    <n v="230"/>
    <n v="2530"/>
    <n v="0.12"/>
    <n v="303.59999999999997"/>
    <n v="2226"/>
    <x v="0"/>
  </r>
  <r>
    <x v="201"/>
    <x v="18"/>
    <x v="4"/>
    <x v="1"/>
    <n v="10"/>
    <n v="150"/>
    <n v="1500"/>
    <n v="0.01"/>
    <n v="15"/>
    <n v="1485"/>
    <x v="1"/>
  </r>
  <r>
    <x v="202"/>
    <x v="18"/>
    <x v="0"/>
    <x v="1"/>
    <n v="17"/>
    <n v="80"/>
    <n v="1360"/>
    <n v="0.03"/>
    <n v="40.799999999999997"/>
    <n v="1319"/>
    <x v="2"/>
  </r>
  <r>
    <x v="203"/>
    <x v="19"/>
    <x v="2"/>
    <x v="0"/>
    <n v="9"/>
    <n v="230"/>
    <n v="2070"/>
    <n v="7.0000000000000007E-2"/>
    <n v="144.9"/>
    <n v="1925"/>
    <x v="3"/>
  </r>
  <r>
    <x v="204"/>
    <x v="19"/>
    <x v="2"/>
    <x v="0"/>
    <n v="11"/>
    <n v="230"/>
    <n v="2530"/>
    <n v="0.02"/>
    <n v="50.6"/>
    <n v="2479"/>
    <x v="4"/>
  </r>
  <r>
    <x v="205"/>
    <x v="19"/>
    <x v="1"/>
    <x v="2"/>
    <n v="2"/>
    <n v="40"/>
    <n v="80"/>
    <n v="0.02"/>
    <n v="1.6"/>
    <n v="78"/>
    <x v="5"/>
  </r>
  <r>
    <x v="206"/>
    <x v="19"/>
    <x v="2"/>
    <x v="4"/>
    <n v="3"/>
    <n v="230"/>
    <n v="690"/>
    <n v="0.1"/>
    <n v="69"/>
    <n v="621"/>
    <x v="6"/>
  </r>
  <r>
    <x v="207"/>
    <x v="19"/>
    <x v="1"/>
    <x v="4"/>
    <n v="7"/>
    <n v="40"/>
    <n v="280"/>
    <n v="0.05"/>
    <n v="14"/>
    <n v="266"/>
    <x v="7"/>
  </r>
  <r>
    <x v="208"/>
    <x v="19"/>
    <x v="4"/>
    <x v="1"/>
    <n v="20"/>
    <n v="150"/>
    <n v="3000"/>
    <n v="0.09"/>
    <n v="270"/>
    <n v="2730"/>
    <x v="8"/>
  </r>
  <r>
    <x v="209"/>
    <x v="19"/>
    <x v="1"/>
    <x v="2"/>
    <n v="4"/>
    <n v="40"/>
    <n v="160"/>
    <n v="0.11"/>
    <n v="17.600000000000001"/>
    <n v="142"/>
    <x v="9"/>
  </r>
  <r>
    <x v="210"/>
    <x v="20"/>
    <x v="2"/>
    <x v="2"/>
    <n v="2"/>
    <n v="230"/>
    <n v="460"/>
    <n v="0.09"/>
    <n v="41.4"/>
    <n v="419"/>
    <x v="0"/>
  </r>
  <r>
    <x v="211"/>
    <x v="20"/>
    <x v="1"/>
    <x v="1"/>
    <n v="7"/>
    <n v="40"/>
    <n v="280"/>
    <n v="0.01"/>
    <n v="2.8000000000000003"/>
    <n v="277"/>
    <x v="1"/>
  </r>
  <r>
    <x v="212"/>
    <x v="20"/>
    <x v="1"/>
    <x v="0"/>
    <n v="2"/>
    <n v="40"/>
    <n v="80"/>
    <n v="0.12"/>
    <n v="9.6"/>
    <n v="70"/>
    <x v="2"/>
  </r>
  <r>
    <x v="213"/>
    <x v="20"/>
    <x v="0"/>
    <x v="1"/>
    <n v="3"/>
    <n v="80"/>
    <n v="240"/>
    <n v="0.02"/>
    <n v="4.8"/>
    <n v="235"/>
    <x v="3"/>
  </r>
  <r>
    <x v="214"/>
    <x v="20"/>
    <x v="3"/>
    <x v="0"/>
    <n v="18"/>
    <n v="16"/>
    <n v="288"/>
    <n v="0.11"/>
    <n v="31.68"/>
    <n v="256"/>
    <x v="4"/>
  </r>
  <r>
    <x v="215"/>
    <x v="20"/>
    <x v="0"/>
    <x v="1"/>
    <n v="5"/>
    <n v="80"/>
    <n v="400"/>
    <n v="7.0000000000000007E-2"/>
    <n v="28.000000000000004"/>
    <n v="372"/>
    <x v="5"/>
  </r>
  <r>
    <x v="216"/>
    <x v="20"/>
    <x v="3"/>
    <x v="2"/>
    <n v="3"/>
    <n v="16"/>
    <n v="48"/>
    <n v="0.05"/>
    <n v="2.4000000000000004"/>
    <n v="46"/>
    <x v="6"/>
  </r>
  <r>
    <x v="217"/>
    <x v="20"/>
    <x v="0"/>
    <x v="3"/>
    <n v="7"/>
    <n v="80"/>
    <n v="560"/>
    <n v="0.02"/>
    <n v="11.200000000000001"/>
    <n v="549"/>
    <x v="7"/>
  </r>
  <r>
    <x v="218"/>
    <x v="20"/>
    <x v="4"/>
    <x v="3"/>
    <n v="15"/>
    <n v="150"/>
    <n v="2250"/>
    <n v="0.08"/>
    <n v="180"/>
    <n v="2070"/>
    <x v="8"/>
  </r>
  <r>
    <x v="219"/>
    <x v="20"/>
    <x v="0"/>
    <x v="2"/>
    <n v="10"/>
    <n v="80"/>
    <n v="800"/>
    <n v="0.11"/>
    <n v="88"/>
    <n v="712"/>
    <x v="9"/>
  </r>
  <r>
    <x v="220"/>
    <x v="20"/>
    <x v="2"/>
    <x v="4"/>
    <n v="13"/>
    <n v="230"/>
    <n v="2990"/>
    <n v="0.06"/>
    <n v="179.4"/>
    <n v="2811"/>
    <x v="10"/>
  </r>
  <r>
    <x v="221"/>
    <x v="20"/>
    <x v="1"/>
    <x v="0"/>
    <n v="7"/>
    <n v="40"/>
    <n v="280"/>
    <n v="0.1"/>
    <n v="28"/>
    <n v="252"/>
    <x v="11"/>
  </r>
  <r>
    <x v="222"/>
    <x v="20"/>
    <x v="3"/>
    <x v="2"/>
    <n v="6"/>
    <n v="16"/>
    <n v="96"/>
    <n v="0.01"/>
    <n v="0.96"/>
    <n v="95"/>
    <x v="0"/>
  </r>
  <r>
    <x v="223"/>
    <x v="21"/>
    <x v="1"/>
    <x v="2"/>
    <n v="11"/>
    <n v="40"/>
    <n v="440"/>
    <n v="0.05"/>
    <n v="22"/>
    <n v="418"/>
    <x v="1"/>
  </r>
  <r>
    <x v="224"/>
    <x v="21"/>
    <x v="0"/>
    <x v="3"/>
    <n v="8"/>
    <n v="80"/>
    <n v="640"/>
    <n v="0.06"/>
    <n v="38.4"/>
    <n v="602"/>
    <x v="2"/>
  </r>
  <r>
    <x v="225"/>
    <x v="21"/>
    <x v="0"/>
    <x v="0"/>
    <n v="9"/>
    <n v="80"/>
    <n v="720"/>
    <n v="0.04"/>
    <n v="28.8"/>
    <n v="691"/>
    <x v="3"/>
  </r>
  <r>
    <x v="226"/>
    <x v="21"/>
    <x v="1"/>
    <x v="4"/>
    <n v="4"/>
    <n v="40"/>
    <n v="160"/>
    <n v="0.09"/>
    <n v="14.399999999999999"/>
    <n v="146"/>
    <x v="4"/>
  </r>
  <r>
    <x v="227"/>
    <x v="21"/>
    <x v="0"/>
    <x v="1"/>
    <n v="13"/>
    <n v="80"/>
    <n v="1040"/>
    <n v="0.06"/>
    <n v="62.4"/>
    <n v="978"/>
    <x v="5"/>
  </r>
  <r>
    <x v="228"/>
    <x v="21"/>
    <x v="4"/>
    <x v="4"/>
    <n v="4"/>
    <n v="150"/>
    <n v="600"/>
    <n v="0.05"/>
    <n v="30"/>
    <n v="570"/>
    <x v="6"/>
  </r>
  <r>
    <x v="229"/>
    <x v="21"/>
    <x v="2"/>
    <x v="2"/>
    <n v="14"/>
    <n v="230"/>
    <n v="3220"/>
    <n v="0.12"/>
    <n v="386.4"/>
    <n v="2834"/>
    <x v="7"/>
  </r>
  <r>
    <x v="230"/>
    <x v="21"/>
    <x v="4"/>
    <x v="4"/>
    <n v="13"/>
    <n v="150"/>
    <n v="1950"/>
    <n v="0.11"/>
    <n v="214.5"/>
    <n v="1736"/>
    <x v="8"/>
  </r>
  <r>
    <x v="231"/>
    <x v="21"/>
    <x v="4"/>
    <x v="1"/>
    <n v="16"/>
    <n v="150"/>
    <n v="2400"/>
    <n v="0.03"/>
    <n v="72"/>
    <n v="2328"/>
    <x v="9"/>
  </r>
  <r>
    <x v="232"/>
    <x v="21"/>
    <x v="3"/>
    <x v="0"/>
    <n v="7"/>
    <n v="16"/>
    <n v="112"/>
    <n v="0.12"/>
    <n v="13.44"/>
    <n v="99"/>
    <x v="10"/>
  </r>
  <r>
    <x v="233"/>
    <x v="21"/>
    <x v="4"/>
    <x v="3"/>
    <n v="9"/>
    <n v="150"/>
    <n v="1350"/>
    <n v="0.02"/>
    <n v="27"/>
    <n v="1323"/>
    <x v="11"/>
  </r>
  <r>
    <x v="234"/>
    <x v="21"/>
    <x v="3"/>
    <x v="0"/>
    <n v="10"/>
    <n v="16"/>
    <n v="160"/>
    <n v="0.08"/>
    <n v="12.8"/>
    <n v="147"/>
    <x v="0"/>
  </r>
  <r>
    <x v="235"/>
    <x v="21"/>
    <x v="0"/>
    <x v="3"/>
    <n v="15"/>
    <n v="80"/>
    <n v="1200"/>
    <n v="0.08"/>
    <n v="96"/>
    <n v="1104"/>
    <x v="1"/>
  </r>
  <r>
    <x v="236"/>
    <x v="21"/>
    <x v="0"/>
    <x v="4"/>
    <n v="9"/>
    <n v="80"/>
    <n v="720"/>
    <n v="0.06"/>
    <n v="43.199999999999996"/>
    <n v="677"/>
    <x v="2"/>
  </r>
  <r>
    <x v="237"/>
    <x v="22"/>
    <x v="3"/>
    <x v="3"/>
    <n v="7"/>
    <n v="16"/>
    <n v="112"/>
    <n v="0.08"/>
    <n v="8.9600000000000009"/>
    <n v="103"/>
    <x v="3"/>
  </r>
  <r>
    <x v="238"/>
    <x v="22"/>
    <x v="4"/>
    <x v="4"/>
    <n v="7"/>
    <n v="150"/>
    <n v="1050"/>
    <n v="0.03"/>
    <n v="31.5"/>
    <n v="1018"/>
    <x v="4"/>
  </r>
  <r>
    <x v="239"/>
    <x v="22"/>
    <x v="2"/>
    <x v="3"/>
    <n v="16"/>
    <n v="230"/>
    <n v="3680"/>
    <n v="0.11"/>
    <n v="404.8"/>
    <n v="3275"/>
    <x v="5"/>
  </r>
  <r>
    <x v="240"/>
    <x v="22"/>
    <x v="3"/>
    <x v="3"/>
    <n v="18"/>
    <n v="16"/>
    <n v="288"/>
    <n v="0.04"/>
    <n v="11.52"/>
    <n v="276"/>
    <x v="6"/>
  </r>
  <r>
    <x v="241"/>
    <x v="22"/>
    <x v="2"/>
    <x v="4"/>
    <n v="20"/>
    <n v="230"/>
    <n v="4600"/>
    <n v="0.11"/>
    <n v="506"/>
    <n v="4094"/>
    <x v="7"/>
  </r>
  <r>
    <x v="242"/>
    <x v="22"/>
    <x v="4"/>
    <x v="0"/>
    <n v="7"/>
    <n v="150"/>
    <n v="1050"/>
    <n v="0.02"/>
    <n v="21"/>
    <n v="1029"/>
    <x v="8"/>
  </r>
  <r>
    <x v="243"/>
    <x v="22"/>
    <x v="3"/>
    <x v="2"/>
    <n v="11"/>
    <n v="16"/>
    <n v="176"/>
    <n v="0.12"/>
    <n v="21.119999999999997"/>
    <n v="155"/>
    <x v="9"/>
  </r>
  <r>
    <x v="244"/>
    <x v="22"/>
    <x v="1"/>
    <x v="2"/>
    <n v="12"/>
    <n v="40"/>
    <n v="480"/>
    <n v="0.02"/>
    <n v="9.6"/>
    <n v="470"/>
    <x v="10"/>
  </r>
  <r>
    <x v="245"/>
    <x v="22"/>
    <x v="4"/>
    <x v="4"/>
    <n v="7"/>
    <n v="150"/>
    <n v="1050"/>
    <n v="0.02"/>
    <n v="21"/>
    <n v="1029"/>
    <x v="11"/>
  </r>
  <r>
    <x v="246"/>
    <x v="22"/>
    <x v="0"/>
    <x v="2"/>
    <n v="14"/>
    <n v="80"/>
    <n v="1120"/>
    <n v="0.1"/>
    <n v="112"/>
    <n v="1008"/>
    <x v="0"/>
  </r>
  <r>
    <x v="247"/>
    <x v="22"/>
    <x v="2"/>
    <x v="2"/>
    <n v="12"/>
    <n v="230"/>
    <n v="2760"/>
    <n v="0.06"/>
    <n v="165.6"/>
    <n v="2594"/>
    <x v="1"/>
  </r>
  <r>
    <x v="248"/>
    <x v="23"/>
    <x v="0"/>
    <x v="1"/>
    <n v="21"/>
    <n v="80"/>
    <n v="1680"/>
    <n v="0.04"/>
    <n v="67.2"/>
    <n v="1613"/>
    <x v="2"/>
  </r>
  <r>
    <x v="249"/>
    <x v="23"/>
    <x v="4"/>
    <x v="0"/>
    <n v="8"/>
    <n v="150"/>
    <n v="1200"/>
    <n v="0.09"/>
    <n v="108"/>
    <n v="1092"/>
    <x v="3"/>
  </r>
  <r>
    <x v="250"/>
    <x v="23"/>
    <x v="0"/>
    <x v="1"/>
    <n v="16"/>
    <n v="80"/>
    <n v="1280"/>
    <n v="0.04"/>
    <n v="51.2"/>
    <n v="1229"/>
    <x v="4"/>
  </r>
  <r>
    <x v="251"/>
    <x v="23"/>
    <x v="2"/>
    <x v="1"/>
    <n v="14"/>
    <n v="230"/>
    <n v="3220"/>
    <n v="0.05"/>
    <n v="161"/>
    <n v="3059"/>
    <x v="5"/>
  </r>
  <r>
    <x v="252"/>
    <x v="23"/>
    <x v="1"/>
    <x v="2"/>
    <n v="2"/>
    <n v="40"/>
    <n v="80"/>
    <n v="0.03"/>
    <n v="2.4"/>
    <n v="78"/>
    <x v="6"/>
  </r>
  <r>
    <x v="253"/>
    <x v="23"/>
    <x v="4"/>
    <x v="0"/>
    <n v="4"/>
    <n v="150"/>
    <n v="600"/>
    <n v="0.1"/>
    <n v="60"/>
    <n v="540"/>
    <x v="7"/>
  </r>
  <r>
    <x v="254"/>
    <x v="23"/>
    <x v="0"/>
    <x v="2"/>
    <n v="6"/>
    <n v="80"/>
    <n v="480"/>
    <n v="0.01"/>
    <n v="4.8"/>
    <n v="475"/>
    <x v="8"/>
  </r>
  <r>
    <x v="255"/>
    <x v="23"/>
    <x v="1"/>
    <x v="2"/>
    <n v="6"/>
    <n v="40"/>
    <n v="240"/>
    <n v="0.06"/>
    <n v="14.399999999999999"/>
    <n v="226"/>
    <x v="9"/>
  </r>
  <r>
    <x v="256"/>
    <x v="23"/>
    <x v="4"/>
    <x v="0"/>
    <n v="20"/>
    <n v="150"/>
    <n v="3000"/>
    <n v="0.04"/>
    <n v="120"/>
    <n v="2880"/>
    <x v="10"/>
  </r>
  <r>
    <x v="257"/>
    <x v="23"/>
    <x v="1"/>
    <x v="2"/>
    <n v="18"/>
    <n v="40"/>
    <n v="720"/>
    <n v="0.03"/>
    <n v="21.599999999999998"/>
    <n v="698"/>
    <x v="11"/>
  </r>
  <r>
    <x v="258"/>
    <x v="23"/>
    <x v="2"/>
    <x v="3"/>
    <n v="18"/>
    <n v="230"/>
    <n v="4140"/>
    <n v="0.01"/>
    <n v="41.4"/>
    <n v="4099"/>
    <x v="0"/>
  </r>
  <r>
    <x v="259"/>
    <x v="23"/>
    <x v="2"/>
    <x v="2"/>
    <n v="15"/>
    <n v="230"/>
    <n v="3450"/>
    <n v="0.04"/>
    <n v="138"/>
    <n v="3312"/>
    <x v="1"/>
  </r>
  <r>
    <x v="260"/>
    <x v="23"/>
    <x v="3"/>
    <x v="1"/>
    <n v="22"/>
    <n v="16"/>
    <n v="352"/>
    <n v="0.01"/>
    <n v="3.52"/>
    <n v="348"/>
    <x v="2"/>
  </r>
  <r>
    <x v="261"/>
    <x v="23"/>
    <x v="4"/>
    <x v="0"/>
    <n v="17"/>
    <n v="150"/>
    <n v="2550"/>
    <n v="0.12"/>
    <n v="306"/>
    <n v="2244"/>
    <x v="3"/>
  </r>
  <r>
    <x v="262"/>
    <x v="24"/>
    <x v="3"/>
    <x v="1"/>
    <n v="5"/>
    <n v="16"/>
    <n v="80"/>
    <n v="0.11"/>
    <n v="8.8000000000000007"/>
    <n v="71"/>
    <x v="4"/>
  </r>
  <r>
    <x v="263"/>
    <x v="24"/>
    <x v="4"/>
    <x v="0"/>
    <n v="23"/>
    <n v="150"/>
    <n v="3450"/>
    <n v="0.1"/>
    <n v="345"/>
    <n v="3105"/>
    <x v="5"/>
  </r>
  <r>
    <x v="264"/>
    <x v="24"/>
    <x v="4"/>
    <x v="3"/>
    <n v="22"/>
    <n v="150"/>
    <n v="3300"/>
    <n v="0.05"/>
    <n v="165"/>
    <n v="3135"/>
    <x v="6"/>
  </r>
  <r>
    <x v="265"/>
    <x v="24"/>
    <x v="3"/>
    <x v="4"/>
    <n v="15"/>
    <n v="16"/>
    <n v="240"/>
    <n v="0.01"/>
    <n v="2.4"/>
    <n v="238"/>
    <x v="7"/>
  </r>
  <r>
    <x v="266"/>
    <x v="24"/>
    <x v="1"/>
    <x v="3"/>
    <n v="7"/>
    <n v="40"/>
    <n v="280"/>
    <n v="7.0000000000000007E-2"/>
    <n v="19.600000000000001"/>
    <n v="260"/>
    <x v="8"/>
  </r>
  <r>
    <x v="267"/>
    <x v="24"/>
    <x v="0"/>
    <x v="4"/>
    <n v="22"/>
    <n v="80"/>
    <n v="1760"/>
    <n v="0.11"/>
    <n v="193.6"/>
    <n v="1566"/>
    <x v="9"/>
  </r>
  <r>
    <x v="268"/>
    <x v="24"/>
    <x v="4"/>
    <x v="2"/>
    <n v="11"/>
    <n v="150"/>
    <n v="1650"/>
    <n v="0.05"/>
    <n v="82.5"/>
    <n v="1568"/>
    <x v="10"/>
  </r>
  <r>
    <x v="269"/>
    <x v="24"/>
    <x v="1"/>
    <x v="1"/>
    <n v="21"/>
    <n v="40"/>
    <n v="840"/>
    <n v="0.03"/>
    <n v="25.2"/>
    <n v="815"/>
    <x v="11"/>
  </r>
  <r>
    <x v="270"/>
    <x v="24"/>
    <x v="0"/>
    <x v="3"/>
    <n v="23"/>
    <n v="80"/>
    <n v="1840"/>
    <n v="0.11"/>
    <n v="202.4"/>
    <n v="1638"/>
    <x v="0"/>
  </r>
  <r>
    <x v="271"/>
    <x v="24"/>
    <x v="2"/>
    <x v="2"/>
    <n v="7"/>
    <n v="230"/>
    <n v="1610"/>
    <n v="0.01"/>
    <n v="16.100000000000001"/>
    <n v="1594"/>
    <x v="1"/>
  </r>
  <r>
    <x v="272"/>
    <x v="24"/>
    <x v="2"/>
    <x v="0"/>
    <n v="16"/>
    <n v="230"/>
    <n v="3680"/>
    <n v="7.0000000000000007E-2"/>
    <n v="257.60000000000002"/>
    <n v="3422"/>
    <x v="2"/>
  </r>
  <r>
    <x v="273"/>
    <x v="24"/>
    <x v="0"/>
    <x v="1"/>
    <n v="14"/>
    <n v="80"/>
    <n v="1120"/>
    <n v="0.11"/>
    <n v="123.2"/>
    <n v="997"/>
    <x v="3"/>
  </r>
  <r>
    <x v="274"/>
    <x v="24"/>
    <x v="4"/>
    <x v="2"/>
    <n v="22"/>
    <n v="150"/>
    <n v="3300"/>
    <n v="0.09"/>
    <n v="297"/>
    <n v="3003"/>
    <x v="4"/>
  </r>
  <r>
    <x v="275"/>
    <x v="24"/>
    <x v="4"/>
    <x v="3"/>
    <n v="4"/>
    <n v="150"/>
    <n v="600"/>
    <n v="0.12"/>
    <n v="72"/>
    <n v="528"/>
    <x v="5"/>
  </r>
  <r>
    <x v="276"/>
    <x v="24"/>
    <x v="4"/>
    <x v="0"/>
    <n v="3"/>
    <n v="150"/>
    <n v="450"/>
    <n v="0.03"/>
    <n v="13.5"/>
    <n v="436"/>
    <x v="6"/>
  </r>
  <r>
    <x v="277"/>
    <x v="24"/>
    <x v="1"/>
    <x v="4"/>
    <n v="17"/>
    <n v="40"/>
    <n v="680"/>
    <n v="0.02"/>
    <n v="13.6"/>
    <n v="666"/>
    <x v="7"/>
  </r>
  <r>
    <x v="278"/>
    <x v="24"/>
    <x v="0"/>
    <x v="4"/>
    <n v="22"/>
    <n v="80"/>
    <n v="1760"/>
    <n v="0.1"/>
    <n v="176"/>
    <n v="1584"/>
    <x v="8"/>
  </r>
  <r>
    <x v="279"/>
    <x v="24"/>
    <x v="4"/>
    <x v="4"/>
    <n v="18"/>
    <n v="150"/>
    <n v="2700"/>
    <n v="0.12"/>
    <n v="324"/>
    <n v="2376"/>
    <x v="9"/>
  </r>
  <r>
    <x v="280"/>
    <x v="25"/>
    <x v="4"/>
    <x v="0"/>
    <n v="4"/>
    <n v="150"/>
    <n v="600"/>
    <n v="0.06"/>
    <n v="36"/>
    <n v="564"/>
    <x v="0"/>
  </r>
  <r>
    <x v="281"/>
    <x v="25"/>
    <x v="2"/>
    <x v="1"/>
    <n v="22"/>
    <n v="230"/>
    <n v="5060"/>
    <n v="0.04"/>
    <n v="202.4"/>
    <n v="4858"/>
    <x v="1"/>
  </r>
  <r>
    <x v="282"/>
    <x v="25"/>
    <x v="4"/>
    <x v="1"/>
    <n v="15"/>
    <n v="150"/>
    <n v="2250"/>
    <n v="0.12"/>
    <n v="270"/>
    <n v="1980"/>
    <x v="2"/>
  </r>
  <r>
    <x v="283"/>
    <x v="25"/>
    <x v="0"/>
    <x v="0"/>
    <n v="17"/>
    <n v="80"/>
    <n v="1360"/>
    <n v="7.0000000000000007E-2"/>
    <n v="95.2"/>
    <n v="1265"/>
    <x v="3"/>
  </r>
  <r>
    <x v="284"/>
    <x v="25"/>
    <x v="1"/>
    <x v="4"/>
    <n v="10"/>
    <n v="40"/>
    <n v="400"/>
    <n v="0.03"/>
    <n v="12"/>
    <n v="388"/>
    <x v="4"/>
  </r>
  <r>
    <x v="285"/>
    <x v="25"/>
    <x v="1"/>
    <x v="0"/>
    <n v="23"/>
    <n v="40"/>
    <n v="920"/>
    <n v="7.0000000000000007E-2"/>
    <n v="64.400000000000006"/>
    <n v="856"/>
    <x v="5"/>
  </r>
  <r>
    <x v="286"/>
    <x v="25"/>
    <x v="3"/>
    <x v="1"/>
    <n v="22"/>
    <n v="16"/>
    <n v="352"/>
    <n v="0.04"/>
    <n v="14.08"/>
    <n v="338"/>
    <x v="6"/>
  </r>
  <r>
    <x v="287"/>
    <x v="25"/>
    <x v="0"/>
    <x v="2"/>
    <n v="8"/>
    <n v="80"/>
    <n v="640"/>
    <n v="0.02"/>
    <n v="12.8"/>
    <n v="627"/>
    <x v="7"/>
  </r>
  <r>
    <x v="288"/>
    <x v="25"/>
    <x v="3"/>
    <x v="1"/>
    <n v="4"/>
    <n v="16"/>
    <n v="64"/>
    <n v="0.09"/>
    <n v="5.76"/>
    <n v="58"/>
    <x v="8"/>
  </r>
  <r>
    <x v="289"/>
    <x v="25"/>
    <x v="1"/>
    <x v="3"/>
    <n v="11"/>
    <n v="40"/>
    <n v="440"/>
    <n v="0.09"/>
    <n v="39.6"/>
    <n v="400"/>
    <x v="9"/>
  </r>
  <r>
    <x v="290"/>
    <x v="25"/>
    <x v="2"/>
    <x v="2"/>
    <n v="18"/>
    <n v="230"/>
    <n v="4140"/>
    <n v="0.01"/>
    <n v="41.4"/>
    <n v="4099"/>
    <x v="10"/>
  </r>
  <r>
    <x v="291"/>
    <x v="26"/>
    <x v="2"/>
    <x v="1"/>
    <n v="11"/>
    <n v="230"/>
    <n v="2530"/>
    <n v="0.1"/>
    <n v="253"/>
    <n v="2277"/>
    <x v="11"/>
  </r>
  <r>
    <x v="292"/>
    <x v="26"/>
    <x v="2"/>
    <x v="0"/>
    <n v="15"/>
    <n v="230"/>
    <n v="3450"/>
    <n v="0.05"/>
    <n v="172.5"/>
    <n v="3278"/>
    <x v="0"/>
  </r>
  <r>
    <x v="293"/>
    <x v="26"/>
    <x v="1"/>
    <x v="4"/>
    <n v="7"/>
    <n v="40"/>
    <n v="280"/>
    <n v="0.04"/>
    <n v="11.200000000000001"/>
    <n v="269"/>
    <x v="1"/>
  </r>
  <r>
    <x v="294"/>
    <x v="26"/>
    <x v="4"/>
    <x v="2"/>
    <n v="20"/>
    <n v="150"/>
    <n v="3000"/>
    <n v="0.12"/>
    <n v="360"/>
    <n v="2640"/>
    <x v="2"/>
  </r>
  <r>
    <x v="295"/>
    <x v="26"/>
    <x v="0"/>
    <x v="2"/>
    <n v="5"/>
    <n v="80"/>
    <n v="400"/>
    <n v="0.09"/>
    <n v="36"/>
    <n v="364"/>
    <x v="3"/>
  </r>
  <r>
    <x v="296"/>
    <x v="26"/>
    <x v="0"/>
    <x v="3"/>
    <n v="14"/>
    <n v="80"/>
    <n v="1120"/>
    <n v="0.05"/>
    <n v="56"/>
    <n v="1064"/>
    <x v="4"/>
  </r>
  <r>
    <x v="297"/>
    <x v="26"/>
    <x v="2"/>
    <x v="3"/>
    <n v="7"/>
    <n v="230"/>
    <n v="1610"/>
    <n v="0.06"/>
    <n v="96.6"/>
    <n v="1513"/>
    <x v="5"/>
  </r>
  <r>
    <x v="298"/>
    <x v="26"/>
    <x v="1"/>
    <x v="3"/>
    <n v="13"/>
    <n v="40"/>
    <n v="520"/>
    <n v="0.06"/>
    <n v="31.2"/>
    <n v="489"/>
    <x v="6"/>
  </r>
  <r>
    <x v="299"/>
    <x v="27"/>
    <x v="3"/>
    <x v="1"/>
    <n v="15"/>
    <n v="16"/>
    <n v="240"/>
    <n v="0.02"/>
    <n v="4.8"/>
    <n v="235"/>
    <x v="7"/>
  </r>
  <r>
    <x v="300"/>
    <x v="27"/>
    <x v="3"/>
    <x v="3"/>
    <n v="5"/>
    <n v="16"/>
    <n v="80"/>
    <n v="0.09"/>
    <n v="7.1999999999999993"/>
    <n v="73"/>
    <x v="8"/>
  </r>
  <r>
    <x v="301"/>
    <x v="27"/>
    <x v="3"/>
    <x v="0"/>
    <n v="22"/>
    <n v="16"/>
    <n v="352"/>
    <n v="0.06"/>
    <n v="21.119999999999997"/>
    <n v="331"/>
    <x v="9"/>
  </r>
  <r>
    <x v="302"/>
    <x v="27"/>
    <x v="4"/>
    <x v="2"/>
    <n v="15"/>
    <n v="150"/>
    <n v="2250"/>
    <n v="0.05"/>
    <n v="112.5"/>
    <n v="2138"/>
    <x v="10"/>
  </r>
  <r>
    <x v="303"/>
    <x v="27"/>
    <x v="2"/>
    <x v="2"/>
    <n v="5"/>
    <n v="230"/>
    <n v="1150"/>
    <n v="0.01"/>
    <n v="11.5"/>
    <n v="1138"/>
    <x v="11"/>
  </r>
  <r>
    <x v="304"/>
    <x v="27"/>
    <x v="1"/>
    <x v="0"/>
    <n v="11"/>
    <n v="40"/>
    <n v="440"/>
    <n v="0.04"/>
    <n v="17.600000000000001"/>
    <n v="422"/>
    <x v="0"/>
  </r>
  <r>
    <x v="305"/>
    <x v="27"/>
    <x v="4"/>
    <x v="1"/>
    <n v="13"/>
    <n v="150"/>
    <n v="1950"/>
    <n v="0.08"/>
    <n v="156"/>
    <n v="1794"/>
    <x v="1"/>
  </r>
  <r>
    <x v="306"/>
    <x v="27"/>
    <x v="3"/>
    <x v="4"/>
    <n v="13"/>
    <n v="16"/>
    <n v="208"/>
    <n v="7.0000000000000007E-2"/>
    <n v="14.560000000000002"/>
    <n v="193"/>
    <x v="2"/>
  </r>
  <r>
    <x v="307"/>
    <x v="27"/>
    <x v="3"/>
    <x v="4"/>
    <n v="3"/>
    <n v="16"/>
    <n v="48"/>
    <n v="0.03"/>
    <n v="1.44"/>
    <n v="47"/>
    <x v="3"/>
  </r>
  <r>
    <x v="308"/>
    <x v="28"/>
    <x v="4"/>
    <x v="1"/>
    <n v="2"/>
    <n v="150"/>
    <n v="300"/>
    <n v="0.09"/>
    <n v="27"/>
    <n v="273"/>
    <x v="4"/>
  </r>
  <r>
    <x v="309"/>
    <x v="28"/>
    <x v="2"/>
    <x v="2"/>
    <n v="14"/>
    <n v="230"/>
    <n v="3220"/>
    <n v="0.03"/>
    <n v="96.6"/>
    <n v="3123"/>
    <x v="5"/>
  </r>
  <r>
    <x v="310"/>
    <x v="28"/>
    <x v="1"/>
    <x v="2"/>
    <n v="11"/>
    <n v="40"/>
    <n v="440"/>
    <n v="0.12"/>
    <n v="52.8"/>
    <n v="387"/>
    <x v="6"/>
  </r>
  <r>
    <x v="311"/>
    <x v="28"/>
    <x v="3"/>
    <x v="4"/>
    <n v="3"/>
    <n v="16"/>
    <n v="48"/>
    <n v="0.06"/>
    <n v="2.88"/>
    <n v="45"/>
    <x v="7"/>
  </r>
  <r>
    <x v="312"/>
    <x v="28"/>
    <x v="1"/>
    <x v="4"/>
    <n v="18"/>
    <n v="40"/>
    <n v="720"/>
    <n v="0.06"/>
    <n v="43.199999999999996"/>
    <n v="677"/>
    <x v="8"/>
  </r>
  <r>
    <x v="313"/>
    <x v="28"/>
    <x v="2"/>
    <x v="4"/>
    <n v="7"/>
    <n v="230"/>
    <n v="1610"/>
    <n v="0.05"/>
    <n v="80.5"/>
    <n v="1530"/>
    <x v="9"/>
  </r>
  <r>
    <x v="314"/>
    <x v="28"/>
    <x v="1"/>
    <x v="4"/>
    <n v="23"/>
    <n v="40"/>
    <n v="920"/>
    <n v="0.05"/>
    <n v="46"/>
    <n v="874"/>
    <x v="10"/>
  </r>
  <r>
    <x v="315"/>
    <x v="29"/>
    <x v="2"/>
    <x v="4"/>
    <n v="2"/>
    <n v="230"/>
    <n v="460"/>
    <n v="0.08"/>
    <n v="36.800000000000004"/>
    <n v="423"/>
    <x v="11"/>
  </r>
  <r>
    <x v="316"/>
    <x v="29"/>
    <x v="1"/>
    <x v="3"/>
    <n v="18"/>
    <n v="40"/>
    <n v="720"/>
    <n v="0.04"/>
    <n v="28.8"/>
    <n v="691"/>
    <x v="0"/>
  </r>
  <r>
    <x v="317"/>
    <x v="29"/>
    <x v="2"/>
    <x v="1"/>
    <n v="7"/>
    <n v="230"/>
    <n v="1610"/>
    <n v="0.05"/>
    <n v="80.5"/>
    <n v="1530"/>
    <x v="1"/>
  </r>
  <r>
    <x v="318"/>
    <x v="29"/>
    <x v="1"/>
    <x v="4"/>
    <n v="14"/>
    <n v="40"/>
    <n v="560"/>
    <n v="0.11"/>
    <n v="61.6"/>
    <n v="498"/>
    <x v="2"/>
  </r>
  <r>
    <x v="319"/>
    <x v="29"/>
    <x v="4"/>
    <x v="1"/>
    <n v="13"/>
    <n v="150"/>
    <n v="1950"/>
    <n v="0.02"/>
    <n v="39"/>
    <n v="1911"/>
    <x v="3"/>
  </r>
  <r>
    <x v="320"/>
    <x v="29"/>
    <x v="0"/>
    <x v="0"/>
    <n v="12"/>
    <n v="80"/>
    <n v="960"/>
    <n v="0.04"/>
    <n v="38.4"/>
    <n v="922"/>
    <x v="4"/>
  </r>
  <r>
    <x v="321"/>
    <x v="29"/>
    <x v="2"/>
    <x v="4"/>
    <n v="20"/>
    <n v="230"/>
    <n v="4600"/>
    <n v="0.09"/>
    <n v="414"/>
    <n v="4186"/>
    <x v="5"/>
  </r>
  <r>
    <x v="322"/>
    <x v="29"/>
    <x v="1"/>
    <x v="4"/>
    <n v="5"/>
    <n v="40"/>
    <n v="200"/>
    <n v="0.03"/>
    <n v="6"/>
    <n v="194"/>
    <x v="6"/>
  </r>
  <r>
    <x v="323"/>
    <x v="29"/>
    <x v="3"/>
    <x v="4"/>
    <n v="2"/>
    <n v="16"/>
    <n v="32"/>
    <n v="0.04"/>
    <n v="1.28"/>
    <n v="31"/>
    <x v="7"/>
  </r>
  <r>
    <x v="324"/>
    <x v="0"/>
    <x v="0"/>
    <x v="2"/>
    <n v="10"/>
    <n v="80"/>
    <n v="800"/>
    <n v="0.08"/>
    <n v="64"/>
    <n v="736"/>
    <x v="8"/>
  </r>
  <r>
    <x v="325"/>
    <x v="0"/>
    <x v="1"/>
    <x v="3"/>
    <n v="18"/>
    <n v="40"/>
    <n v="720"/>
    <n v="0.06"/>
    <n v="43.199999999999996"/>
    <n v="677"/>
    <x v="9"/>
  </r>
  <r>
    <x v="326"/>
    <x v="0"/>
    <x v="2"/>
    <x v="1"/>
    <n v="7"/>
    <n v="230"/>
    <n v="1610"/>
    <n v="0.08"/>
    <n v="128.80000000000001"/>
    <n v="1481"/>
    <x v="10"/>
  </r>
  <r>
    <x v="327"/>
    <x v="0"/>
    <x v="1"/>
    <x v="3"/>
    <n v="15"/>
    <n v="40"/>
    <n v="600"/>
    <n v="0.03"/>
    <n v="18"/>
    <n v="582"/>
    <x v="11"/>
  </r>
  <r>
    <x v="328"/>
    <x v="0"/>
    <x v="3"/>
    <x v="2"/>
    <n v="6"/>
    <n v="16"/>
    <n v="96"/>
    <n v="0.01"/>
    <n v="0.96"/>
    <n v="95"/>
    <x v="0"/>
  </r>
  <r>
    <x v="329"/>
    <x v="0"/>
    <x v="4"/>
    <x v="3"/>
    <n v="9"/>
    <n v="150"/>
    <n v="1350"/>
    <n v="0.02"/>
    <n v="27"/>
    <n v="1323"/>
    <x v="1"/>
  </r>
  <r>
    <x v="330"/>
    <x v="0"/>
    <x v="3"/>
    <x v="4"/>
    <n v="15"/>
    <n v="16"/>
    <n v="240"/>
    <n v="0.01"/>
    <n v="2.4"/>
    <n v="238"/>
    <x v="2"/>
  </r>
  <r>
    <x v="331"/>
    <x v="0"/>
    <x v="0"/>
    <x v="4"/>
    <n v="22"/>
    <n v="80"/>
    <n v="1760"/>
    <n v="0.11"/>
    <n v="193.6"/>
    <n v="1566"/>
    <x v="3"/>
  </r>
  <r>
    <x v="332"/>
    <x v="0"/>
    <x v="4"/>
    <x v="1"/>
    <n v="13"/>
    <n v="150"/>
    <n v="1950"/>
    <n v="0.02"/>
    <n v="39"/>
    <n v="1911"/>
    <x v="4"/>
  </r>
  <r>
    <x v="333"/>
    <x v="1"/>
    <x v="3"/>
    <x v="2"/>
    <n v="12"/>
    <n v="16"/>
    <n v="192"/>
    <n v="0.03"/>
    <n v="5.76"/>
    <n v="186"/>
    <x v="5"/>
  </r>
  <r>
    <x v="334"/>
    <x v="1"/>
    <x v="1"/>
    <x v="3"/>
    <n v="4"/>
    <n v="40"/>
    <n v="160"/>
    <n v="0.05"/>
    <n v="8"/>
    <n v="152"/>
    <x v="6"/>
  </r>
  <r>
    <x v="335"/>
    <x v="1"/>
    <x v="2"/>
    <x v="1"/>
    <n v="19"/>
    <n v="230"/>
    <n v="4370"/>
    <n v="0.11"/>
    <n v="480.7"/>
    <n v="3889"/>
    <x v="7"/>
  </r>
  <r>
    <x v="336"/>
    <x v="1"/>
    <x v="1"/>
    <x v="1"/>
    <n v="4"/>
    <n v="40"/>
    <n v="160"/>
    <n v="0.06"/>
    <n v="9.6"/>
    <n v="150"/>
    <x v="8"/>
  </r>
  <r>
    <x v="337"/>
    <x v="1"/>
    <x v="3"/>
    <x v="2"/>
    <n v="6"/>
    <n v="16"/>
    <n v="96"/>
    <n v="7.0000000000000007E-2"/>
    <n v="6.7200000000000006"/>
    <n v="89"/>
    <x v="9"/>
  </r>
  <r>
    <x v="338"/>
    <x v="1"/>
    <x v="2"/>
    <x v="2"/>
    <n v="15"/>
    <n v="230"/>
    <n v="3450"/>
    <n v="0.11"/>
    <n v="379.5"/>
    <n v="3070"/>
    <x v="10"/>
  </r>
  <r>
    <x v="339"/>
    <x v="1"/>
    <x v="0"/>
    <x v="2"/>
    <n v="16"/>
    <n v="80"/>
    <n v="1280"/>
    <n v="0.04"/>
    <n v="51.2"/>
    <n v="1229"/>
    <x v="11"/>
  </r>
  <r>
    <x v="340"/>
    <x v="1"/>
    <x v="1"/>
    <x v="0"/>
    <n v="7"/>
    <n v="40"/>
    <n v="280"/>
    <n v="0.1"/>
    <n v="28"/>
    <n v="252"/>
    <x v="0"/>
  </r>
  <r>
    <x v="341"/>
    <x v="1"/>
    <x v="1"/>
    <x v="2"/>
    <n v="11"/>
    <n v="40"/>
    <n v="440"/>
    <n v="0.05"/>
    <n v="22"/>
    <n v="418"/>
    <x v="1"/>
  </r>
  <r>
    <x v="342"/>
    <x v="1"/>
    <x v="0"/>
    <x v="4"/>
    <n v="9"/>
    <n v="80"/>
    <n v="720"/>
    <n v="0.06"/>
    <n v="43.199999999999996"/>
    <n v="677"/>
    <x v="2"/>
  </r>
  <r>
    <x v="343"/>
    <x v="1"/>
    <x v="0"/>
    <x v="1"/>
    <n v="21"/>
    <n v="80"/>
    <n v="1680"/>
    <n v="0.04"/>
    <n v="67.2"/>
    <n v="1613"/>
    <x v="3"/>
  </r>
  <r>
    <x v="344"/>
    <x v="1"/>
    <x v="1"/>
    <x v="2"/>
    <n v="2"/>
    <n v="40"/>
    <n v="80"/>
    <n v="0.03"/>
    <n v="2.4"/>
    <n v="78"/>
    <x v="4"/>
  </r>
  <r>
    <x v="345"/>
    <x v="2"/>
    <x v="3"/>
    <x v="2"/>
    <n v="17"/>
    <n v="16"/>
    <n v="272"/>
    <n v="0.05"/>
    <n v="13.600000000000001"/>
    <n v="258"/>
    <x v="5"/>
  </r>
  <r>
    <x v="346"/>
    <x v="2"/>
    <x v="1"/>
    <x v="0"/>
    <n v="18"/>
    <n v="40"/>
    <n v="720"/>
    <n v="0.06"/>
    <n v="43.199999999999996"/>
    <n v="677"/>
    <x v="6"/>
  </r>
  <r>
    <x v="347"/>
    <x v="2"/>
    <x v="1"/>
    <x v="0"/>
    <n v="9"/>
    <n v="40"/>
    <n v="360"/>
    <n v="0.01"/>
    <n v="3.6"/>
    <n v="356"/>
    <x v="7"/>
  </r>
  <r>
    <x v="348"/>
    <x v="2"/>
    <x v="1"/>
    <x v="1"/>
    <n v="7"/>
    <n v="40"/>
    <n v="280"/>
    <n v="0.01"/>
    <n v="2.8000000000000003"/>
    <n v="277"/>
    <x v="8"/>
  </r>
  <r>
    <x v="349"/>
    <x v="2"/>
    <x v="2"/>
    <x v="2"/>
    <n v="12"/>
    <n v="230"/>
    <n v="2760"/>
    <n v="0.06"/>
    <n v="165.6"/>
    <n v="2594"/>
    <x v="9"/>
  </r>
  <r>
    <x v="350"/>
    <x v="2"/>
    <x v="3"/>
    <x v="1"/>
    <n v="22"/>
    <n v="16"/>
    <n v="352"/>
    <n v="0.04"/>
    <n v="14.08"/>
    <n v="338"/>
    <x v="0"/>
  </r>
  <r>
    <x v="351"/>
    <x v="3"/>
    <x v="4"/>
    <x v="0"/>
    <n v="5"/>
    <n v="150"/>
    <n v="750"/>
    <n v="0.11"/>
    <n v="82.5"/>
    <n v="668"/>
    <x v="1"/>
  </r>
  <r>
    <x v="352"/>
    <x v="3"/>
    <x v="0"/>
    <x v="1"/>
    <n v="14"/>
    <n v="80"/>
    <n v="1120"/>
    <n v="0.11"/>
    <n v="123.2"/>
    <n v="997"/>
    <x v="2"/>
  </r>
  <r>
    <x v="353"/>
    <x v="3"/>
    <x v="3"/>
    <x v="2"/>
    <n v="8"/>
    <n v="16"/>
    <n v="128"/>
    <n v="0.03"/>
    <n v="3.84"/>
    <n v="124"/>
    <x v="3"/>
  </r>
  <r>
    <x v="354"/>
    <x v="3"/>
    <x v="2"/>
    <x v="2"/>
    <n v="6"/>
    <n v="230"/>
    <n v="1380"/>
    <n v="0.05"/>
    <n v="69"/>
    <n v="1311"/>
    <x v="4"/>
  </r>
  <r>
    <x v="355"/>
    <x v="3"/>
    <x v="3"/>
    <x v="3"/>
    <n v="7"/>
    <n v="16"/>
    <n v="112"/>
    <n v="0.08"/>
    <n v="8.9600000000000009"/>
    <n v="103"/>
    <x v="5"/>
  </r>
  <r>
    <x v="356"/>
    <x v="3"/>
    <x v="0"/>
    <x v="1"/>
    <n v="16"/>
    <n v="80"/>
    <n v="1280"/>
    <n v="0.04"/>
    <n v="51.2"/>
    <n v="1229"/>
    <x v="6"/>
  </r>
  <r>
    <x v="357"/>
    <x v="3"/>
    <x v="4"/>
    <x v="0"/>
    <n v="17"/>
    <n v="150"/>
    <n v="2550"/>
    <n v="0.12"/>
    <n v="306"/>
    <n v="2244"/>
    <x v="7"/>
  </r>
  <r>
    <x v="358"/>
    <x v="3"/>
    <x v="3"/>
    <x v="1"/>
    <n v="7"/>
    <n v="16"/>
    <n v="112"/>
    <n v="0.08"/>
    <n v="8.9600000000000009"/>
    <n v="103"/>
    <x v="8"/>
  </r>
  <r>
    <x v="359"/>
    <x v="4"/>
    <x v="3"/>
    <x v="0"/>
    <n v="21"/>
    <n v="16"/>
    <n v="336"/>
    <n v="0.09"/>
    <n v="30.24"/>
    <n v="306"/>
    <x v="9"/>
  </r>
  <r>
    <x v="360"/>
    <x v="4"/>
    <x v="3"/>
    <x v="2"/>
    <n v="23"/>
    <n v="16"/>
    <n v="368"/>
    <n v="0.11"/>
    <n v="40.479999999999997"/>
    <n v="328"/>
    <x v="10"/>
  </r>
  <r>
    <x v="361"/>
    <x v="4"/>
    <x v="4"/>
    <x v="2"/>
    <n v="2"/>
    <n v="150"/>
    <n v="300"/>
    <n v="0.02"/>
    <n v="6"/>
    <n v="294"/>
    <x v="11"/>
  </r>
  <r>
    <x v="362"/>
    <x v="4"/>
    <x v="4"/>
    <x v="0"/>
    <n v="22"/>
    <n v="150"/>
    <n v="3300"/>
    <n v="7.0000000000000007E-2"/>
    <n v="231.00000000000003"/>
    <n v="3069"/>
    <x v="0"/>
  </r>
  <r>
    <x v="363"/>
    <x v="4"/>
    <x v="1"/>
    <x v="3"/>
    <n v="22"/>
    <n v="40"/>
    <n v="880"/>
    <n v="0.01"/>
    <n v="8.8000000000000007"/>
    <n v="871"/>
    <x v="1"/>
  </r>
  <r>
    <x v="364"/>
    <x v="4"/>
    <x v="0"/>
    <x v="1"/>
    <n v="10"/>
    <n v="80"/>
    <n v="800"/>
    <n v="0.11"/>
    <n v="88"/>
    <n v="712"/>
    <x v="2"/>
  </r>
  <r>
    <x v="365"/>
    <x v="4"/>
    <x v="0"/>
    <x v="4"/>
    <n v="13"/>
    <n v="80"/>
    <n v="1040"/>
    <n v="0.05"/>
    <n v="52"/>
    <n v="988"/>
    <x v="3"/>
  </r>
  <r>
    <x v="366"/>
    <x v="4"/>
    <x v="2"/>
    <x v="3"/>
    <n v="11"/>
    <n v="230"/>
    <n v="2530"/>
    <n v="0.12"/>
    <n v="303.59999999999997"/>
    <n v="2226"/>
    <x v="4"/>
  </r>
  <r>
    <x v="367"/>
    <x v="4"/>
    <x v="2"/>
    <x v="0"/>
    <n v="9"/>
    <n v="230"/>
    <n v="2070"/>
    <n v="7.0000000000000007E-2"/>
    <n v="144.9"/>
    <n v="1925"/>
    <x v="5"/>
  </r>
  <r>
    <x v="368"/>
    <x v="4"/>
    <x v="2"/>
    <x v="3"/>
    <n v="16"/>
    <n v="230"/>
    <n v="3680"/>
    <n v="0.11"/>
    <n v="404.8"/>
    <n v="3275"/>
    <x v="6"/>
  </r>
  <r>
    <x v="369"/>
    <x v="4"/>
    <x v="2"/>
    <x v="3"/>
    <n v="18"/>
    <n v="230"/>
    <n v="4140"/>
    <n v="0.01"/>
    <n v="41.4"/>
    <n v="4099"/>
    <x v="7"/>
  </r>
  <r>
    <x v="370"/>
    <x v="4"/>
    <x v="3"/>
    <x v="1"/>
    <n v="15"/>
    <n v="16"/>
    <n v="240"/>
    <n v="0.02"/>
    <n v="4.8"/>
    <n v="235"/>
    <x v="8"/>
  </r>
  <r>
    <x v="371"/>
    <x v="4"/>
    <x v="1"/>
    <x v="4"/>
    <n v="18"/>
    <n v="40"/>
    <n v="720"/>
    <n v="0.06"/>
    <n v="43.199999999999996"/>
    <n v="677"/>
    <x v="9"/>
  </r>
  <r>
    <x v="372"/>
    <x v="4"/>
    <x v="1"/>
    <x v="3"/>
    <n v="18"/>
    <n v="40"/>
    <n v="720"/>
    <n v="0.04"/>
    <n v="28.8"/>
    <n v="691"/>
    <x v="10"/>
  </r>
  <r>
    <x v="373"/>
    <x v="4"/>
    <x v="3"/>
    <x v="3"/>
    <n v="22"/>
    <n v="16"/>
    <n v="352"/>
    <n v="0.03"/>
    <n v="10.559999999999999"/>
    <n v="341"/>
    <x v="11"/>
  </r>
  <r>
    <x v="374"/>
    <x v="4"/>
    <x v="3"/>
    <x v="2"/>
    <n v="12"/>
    <n v="16"/>
    <n v="192"/>
    <n v="0.11"/>
    <n v="21.12"/>
    <n v="171"/>
    <x v="0"/>
  </r>
  <r>
    <x v="375"/>
    <x v="5"/>
    <x v="0"/>
    <x v="0"/>
    <n v="20"/>
    <n v="80"/>
    <n v="1600"/>
    <n v="0.01"/>
    <n v="16"/>
    <n v="1584"/>
    <x v="1"/>
  </r>
  <r>
    <x v="376"/>
    <x v="5"/>
    <x v="2"/>
    <x v="2"/>
    <n v="10"/>
    <n v="230"/>
    <n v="2300"/>
    <n v="0.02"/>
    <n v="46"/>
    <n v="2254"/>
    <x v="2"/>
  </r>
  <r>
    <x v="377"/>
    <x v="5"/>
    <x v="2"/>
    <x v="1"/>
    <n v="9"/>
    <n v="230"/>
    <n v="2070"/>
    <n v="0.03"/>
    <n v="62.099999999999994"/>
    <n v="2008"/>
    <x v="3"/>
  </r>
  <r>
    <x v="378"/>
    <x v="5"/>
    <x v="0"/>
    <x v="1"/>
    <n v="17"/>
    <n v="80"/>
    <n v="1360"/>
    <n v="0.03"/>
    <n v="40.799999999999997"/>
    <n v="1319"/>
    <x v="4"/>
  </r>
  <r>
    <x v="379"/>
    <x v="5"/>
    <x v="1"/>
    <x v="4"/>
    <n v="4"/>
    <n v="40"/>
    <n v="160"/>
    <n v="0.09"/>
    <n v="14.399999999999999"/>
    <n v="146"/>
    <x v="5"/>
  </r>
  <r>
    <x v="380"/>
    <x v="5"/>
    <x v="4"/>
    <x v="1"/>
    <n v="16"/>
    <n v="150"/>
    <n v="2400"/>
    <n v="0.03"/>
    <n v="72"/>
    <n v="2328"/>
    <x v="6"/>
  </r>
  <r>
    <x v="381"/>
    <x v="5"/>
    <x v="0"/>
    <x v="2"/>
    <n v="8"/>
    <n v="80"/>
    <n v="640"/>
    <n v="0.02"/>
    <n v="12.8"/>
    <n v="627"/>
    <x v="7"/>
  </r>
  <r>
    <x v="382"/>
    <x v="5"/>
    <x v="1"/>
    <x v="3"/>
    <n v="23"/>
    <n v="40"/>
    <n v="920"/>
    <n v="0.06"/>
    <n v="55.199999999999996"/>
    <n v="865"/>
    <x v="8"/>
  </r>
  <r>
    <x v="383"/>
    <x v="6"/>
    <x v="4"/>
    <x v="3"/>
    <n v="20"/>
    <n v="150"/>
    <n v="3000"/>
    <n v="0.1"/>
    <n v="300"/>
    <n v="2700"/>
    <x v="9"/>
  </r>
  <r>
    <x v="384"/>
    <x v="6"/>
    <x v="2"/>
    <x v="4"/>
    <n v="22"/>
    <n v="230"/>
    <n v="5060"/>
    <n v="0.1"/>
    <n v="506"/>
    <n v="4554"/>
    <x v="10"/>
  </r>
  <r>
    <x v="385"/>
    <x v="6"/>
    <x v="2"/>
    <x v="1"/>
    <n v="6"/>
    <n v="230"/>
    <n v="1380"/>
    <n v="0.1"/>
    <n v="138"/>
    <n v="1242"/>
    <x v="11"/>
  </r>
  <r>
    <x v="386"/>
    <x v="6"/>
    <x v="0"/>
    <x v="3"/>
    <n v="10"/>
    <n v="80"/>
    <n v="800"/>
    <n v="0.1"/>
    <n v="80"/>
    <n v="720"/>
    <x v="0"/>
  </r>
  <r>
    <x v="387"/>
    <x v="6"/>
    <x v="2"/>
    <x v="4"/>
    <n v="21"/>
    <n v="230"/>
    <n v="4830"/>
    <n v="0.05"/>
    <n v="241.5"/>
    <n v="4588"/>
    <x v="1"/>
  </r>
  <r>
    <x v="388"/>
    <x v="6"/>
    <x v="2"/>
    <x v="0"/>
    <n v="20"/>
    <n v="230"/>
    <n v="4600"/>
    <n v="0.04"/>
    <n v="184"/>
    <n v="4416"/>
    <x v="2"/>
  </r>
  <r>
    <x v="389"/>
    <x v="6"/>
    <x v="0"/>
    <x v="2"/>
    <n v="20"/>
    <n v="80"/>
    <n v="1600"/>
    <n v="7.0000000000000007E-2"/>
    <n v="112.00000000000001"/>
    <n v="1488"/>
    <x v="3"/>
  </r>
  <r>
    <x v="390"/>
    <x v="6"/>
    <x v="0"/>
    <x v="2"/>
    <n v="7"/>
    <n v="80"/>
    <n v="560"/>
    <n v="0.05"/>
    <n v="28"/>
    <n v="532"/>
    <x v="4"/>
  </r>
  <r>
    <x v="391"/>
    <x v="6"/>
    <x v="0"/>
    <x v="0"/>
    <n v="8"/>
    <n v="80"/>
    <n v="640"/>
    <n v="0.09"/>
    <n v="57.599999999999994"/>
    <n v="582"/>
    <x v="5"/>
  </r>
  <r>
    <x v="392"/>
    <x v="6"/>
    <x v="0"/>
    <x v="1"/>
    <n v="3"/>
    <n v="80"/>
    <n v="240"/>
    <n v="0.02"/>
    <n v="4.8"/>
    <n v="235"/>
    <x v="6"/>
  </r>
  <r>
    <x v="393"/>
    <x v="6"/>
    <x v="0"/>
    <x v="3"/>
    <n v="8"/>
    <n v="80"/>
    <n v="640"/>
    <n v="0.06"/>
    <n v="38.4"/>
    <n v="602"/>
    <x v="7"/>
  </r>
  <r>
    <x v="394"/>
    <x v="6"/>
    <x v="4"/>
    <x v="4"/>
    <n v="13"/>
    <n v="150"/>
    <n v="1950"/>
    <n v="0.11"/>
    <n v="214.5"/>
    <n v="1736"/>
    <x v="8"/>
  </r>
  <r>
    <x v="395"/>
    <x v="6"/>
    <x v="0"/>
    <x v="3"/>
    <n v="15"/>
    <n v="80"/>
    <n v="1200"/>
    <n v="0.08"/>
    <n v="96"/>
    <n v="1104"/>
    <x v="9"/>
  </r>
  <r>
    <x v="396"/>
    <x v="6"/>
    <x v="4"/>
    <x v="4"/>
    <n v="7"/>
    <n v="150"/>
    <n v="1050"/>
    <n v="0.02"/>
    <n v="21"/>
    <n v="1029"/>
    <x v="10"/>
  </r>
  <r>
    <x v="397"/>
    <x v="6"/>
    <x v="1"/>
    <x v="2"/>
    <n v="6"/>
    <n v="40"/>
    <n v="240"/>
    <n v="0.06"/>
    <n v="14.399999999999999"/>
    <n v="226"/>
    <x v="11"/>
  </r>
  <r>
    <x v="398"/>
    <x v="6"/>
    <x v="0"/>
    <x v="3"/>
    <n v="23"/>
    <n v="80"/>
    <n v="1840"/>
    <n v="0.11"/>
    <n v="202.4"/>
    <n v="1638"/>
    <x v="0"/>
  </r>
  <r>
    <x v="399"/>
    <x v="6"/>
    <x v="2"/>
    <x v="2"/>
    <n v="18"/>
    <n v="230"/>
    <n v="4140"/>
    <n v="0.01"/>
    <n v="41.4"/>
    <n v="4099"/>
    <x v="1"/>
  </r>
  <r>
    <x v="400"/>
    <x v="7"/>
    <x v="0"/>
    <x v="4"/>
    <n v="21"/>
    <n v="80"/>
    <n v="1680"/>
    <n v="0.09"/>
    <n v="151.19999999999999"/>
    <n v="1529"/>
    <x v="2"/>
  </r>
  <r>
    <x v="401"/>
    <x v="7"/>
    <x v="1"/>
    <x v="2"/>
    <n v="13"/>
    <n v="40"/>
    <n v="520"/>
    <n v="0.02"/>
    <n v="10.4"/>
    <n v="510"/>
    <x v="3"/>
  </r>
  <r>
    <x v="402"/>
    <x v="7"/>
    <x v="0"/>
    <x v="2"/>
    <n v="23"/>
    <n v="80"/>
    <n v="1840"/>
    <n v="0.05"/>
    <n v="92"/>
    <n v="1748"/>
    <x v="4"/>
  </r>
  <r>
    <x v="403"/>
    <x v="7"/>
    <x v="4"/>
    <x v="3"/>
    <n v="15"/>
    <n v="150"/>
    <n v="2250"/>
    <n v="0.05"/>
    <n v="112.5"/>
    <n v="2138"/>
    <x v="5"/>
  </r>
  <r>
    <x v="404"/>
    <x v="7"/>
    <x v="1"/>
    <x v="0"/>
    <n v="5"/>
    <n v="40"/>
    <n v="200"/>
    <n v="0.09"/>
    <n v="18"/>
    <n v="182"/>
    <x v="6"/>
  </r>
  <r>
    <x v="405"/>
    <x v="7"/>
    <x v="3"/>
    <x v="3"/>
    <n v="10"/>
    <n v="16"/>
    <n v="160"/>
    <n v="0.01"/>
    <n v="1.6"/>
    <n v="158"/>
    <x v="7"/>
  </r>
  <r>
    <x v="406"/>
    <x v="7"/>
    <x v="2"/>
    <x v="2"/>
    <n v="2"/>
    <n v="230"/>
    <n v="460"/>
    <n v="0.09"/>
    <n v="41.4"/>
    <n v="419"/>
    <x v="8"/>
  </r>
  <r>
    <x v="407"/>
    <x v="7"/>
    <x v="0"/>
    <x v="3"/>
    <n v="7"/>
    <n v="80"/>
    <n v="560"/>
    <n v="0.02"/>
    <n v="11.200000000000001"/>
    <n v="549"/>
    <x v="9"/>
  </r>
  <r>
    <x v="408"/>
    <x v="7"/>
    <x v="4"/>
    <x v="3"/>
    <n v="22"/>
    <n v="150"/>
    <n v="3300"/>
    <n v="0.05"/>
    <n v="165"/>
    <n v="3135"/>
    <x v="10"/>
  </r>
  <r>
    <x v="409"/>
    <x v="7"/>
    <x v="1"/>
    <x v="4"/>
    <n v="17"/>
    <n v="40"/>
    <n v="680"/>
    <n v="0.02"/>
    <n v="13.6"/>
    <n v="666"/>
    <x v="11"/>
  </r>
  <r>
    <x v="410"/>
    <x v="7"/>
    <x v="3"/>
    <x v="0"/>
    <n v="22"/>
    <n v="16"/>
    <n v="352"/>
    <n v="0.06"/>
    <n v="21.119999999999997"/>
    <n v="331"/>
    <x v="0"/>
  </r>
  <r>
    <x v="411"/>
    <x v="7"/>
    <x v="3"/>
    <x v="4"/>
    <n v="3"/>
    <n v="16"/>
    <n v="48"/>
    <n v="0.03"/>
    <n v="1.44"/>
    <n v="47"/>
    <x v="1"/>
  </r>
  <r>
    <x v="412"/>
    <x v="7"/>
    <x v="2"/>
    <x v="4"/>
    <n v="2"/>
    <n v="230"/>
    <n v="460"/>
    <n v="0.08"/>
    <n v="36.800000000000004"/>
    <n v="423"/>
    <x v="2"/>
  </r>
  <r>
    <x v="413"/>
    <x v="7"/>
    <x v="3"/>
    <x v="0"/>
    <n v="21"/>
    <n v="16"/>
    <n v="336"/>
    <n v="0.09"/>
    <n v="30.24"/>
    <n v="306"/>
    <x v="3"/>
  </r>
  <r>
    <x v="414"/>
    <x v="7"/>
    <x v="0"/>
    <x v="3"/>
    <n v="7"/>
    <n v="80"/>
    <n v="560"/>
    <n v="7.0000000000000007E-2"/>
    <n v="39.200000000000003"/>
    <n v="521"/>
    <x v="4"/>
  </r>
  <r>
    <x v="415"/>
    <x v="7"/>
    <x v="4"/>
    <x v="1"/>
    <n v="23"/>
    <n v="150"/>
    <n v="3450"/>
    <n v="0.11"/>
    <n v="379.5"/>
    <n v="3070"/>
    <x v="5"/>
  </r>
  <r>
    <x v="416"/>
    <x v="8"/>
    <x v="4"/>
    <x v="0"/>
    <n v="11"/>
    <n v="150"/>
    <n v="1650"/>
    <n v="0.05"/>
    <n v="82.5"/>
    <n v="1568"/>
    <x v="6"/>
  </r>
  <r>
    <x v="417"/>
    <x v="8"/>
    <x v="0"/>
    <x v="4"/>
    <n v="16"/>
    <n v="80"/>
    <n v="1280"/>
    <n v="0.05"/>
    <n v="64"/>
    <n v="1216"/>
    <x v="7"/>
  </r>
  <r>
    <x v="418"/>
    <x v="8"/>
    <x v="2"/>
    <x v="2"/>
    <n v="5"/>
    <n v="230"/>
    <n v="1150"/>
    <n v="0.1"/>
    <n v="115"/>
    <n v="1035"/>
    <x v="8"/>
  </r>
  <r>
    <x v="419"/>
    <x v="8"/>
    <x v="3"/>
    <x v="0"/>
    <n v="22"/>
    <n v="16"/>
    <n v="352"/>
    <n v="0.01"/>
    <n v="3.52"/>
    <n v="348"/>
    <x v="9"/>
  </r>
  <r>
    <x v="420"/>
    <x v="8"/>
    <x v="1"/>
    <x v="4"/>
    <n v="7"/>
    <n v="40"/>
    <n v="280"/>
    <n v="0.12"/>
    <n v="33.6"/>
    <n v="246"/>
    <x v="0"/>
  </r>
  <r>
    <x v="421"/>
    <x v="8"/>
    <x v="0"/>
    <x v="1"/>
    <n v="2"/>
    <n v="80"/>
    <n v="160"/>
    <n v="0.04"/>
    <n v="6.4"/>
    <n v="154"/>
    <x v="1"/>
  </r>
  <r>
    <x v="422"/>
    <x v="8"/>
    <x v="1"/>
    <x v="3"/>
    <n v="6"/>
    <n v="40"/>
    <n v="240"/>
    <n v="7.0000000000000007E-2"/>
    <n v="16.8"/>
    <n v="223"/>
    <x v="2"/>
  </r>
  <r>
    <x v="423"/>
    <x v="8"/>
    <x v="0"/>
    <x v="2"/>
    <n v="6"/>
    <n v="80"/>
    <n v="480"/>
    <n v="0.01"/>
    <n v="4.8"/>
    <n v="475"/>
    <x v="3"/>
  </r>
  <r>
    <x v="424"/>
    <x v="8"/>
    <x v="3"/>
    <x v="1"/>
    <n v="22"/>
    <n v="16"/>
    <n v="352"/>
    <n v="0.01"/>
    <n v="3.52"/>
    <n v="348"/>
    <x v="4"/>
  </r>
  <r>
    <x v="425"/>
    <x v="8"/>
    <x v="2"/>
    <x v="3"/>
    <n v="7"/>
    <n v="230"/>
    <n v="1610"/>
    <n v="0.06"/>
    <n v="96.6"/>
    <n v="1513"/>
    <x v="5"/>
  </r>
  <r>
    <x v="426"/>
    <x v="9"/>
    <x v="3"/>
    <x v="3"/>
    <n v="22"/>
    <n v="16"/>
    <n v="352"/>
    <n v="0.03"/>
    <n v="10.559999999999999"/>
    <n v="341"/>
    <x v="6"/>
  </r>
  <r>
    <x v="427"/>
    <x v="9"/>
    <x v="1"/>
    <x v="4"/>
    <n v="20"/>
    <n v="40"/>
    <n v="800"/>
    <n v="0.05"/>
    <n v="40"/>
    <n v="760"/>
    <x v="7"/>
  </r>
  <r>
    <x v="428"/>
    <x v="9"/>
    <x v="1"/>
    <x v="1"/>
    <n v="19"/>
    <n v="40"/>
    <n v="760"/>
    <n v="0.1"/>
    <n v="76"/>
    <n v="684"/>
    <x v="8"/>
  </r>
  <r>
    <x v="429"/>
    <x v="9"/>
    <x v="3"/>
    <x v="0"/>
    <n v="18"/>
    <n v="16"/>
    <n v="288"/>
    <n v="0.05"/>
    <n v="14.4"/>
    <n v="274"/>
    <x v="9"/>
  </r>
  <r>
    <x v="430"/>
    <x v="9"/>
    <x v="1"/>
    <x v="2"/>
    <n v="2"/>
    <n v="40"/>
    <n v="80"/>
    <n v="0.02"/>
    <n v="1.6"/>
    <n v="78"/>
    <x v="10"/>
  </r>
  <r>
    <x v="431"/>
    <x v="9"/>
    <x v="1"/>
    <x v="3"/>
    <n v="7"/>
    <n v="40"/>
    <n v="280"/>
    <n v="7.0000000000000007E-2"/>
    <n v="19.600000000000001"/>
    <n v="260"/>
    <x v="11"/>
  </r>
  <r>
    <x v="432"/>
    <x v="9"/>
    <x v="4"/>
    <x v="2"/>
    <n v="11"/>
    <n v="150"/>
    <n v="1650"/>
    <n v="0.05"/>
    <n v="82.5"/>
    <n v="1568"/>
    <x v="0"/>
  </r>
  <r>
    <x v="433"/>
    <x v="9"/>
    <x v="0"/>
    <x v="1"/>
    <n v="14"/>
    <n v="80"/>
    <n v="1120"/>
    <n v="0.11"/>
    <n v="123.2"/>
    <n v="997"/>
    <x v="1"/>
  </r>
  <r>
    <x v="434"/>
    <x v="9"/>
    <x v="1"/>
    <x v="4"/>
    <n v="7"/>
    <n v="40"/>
    <n v="280"/>
    <n v="0.04"/>
    <n v="11.200000000000001"/>
    <n v="269"/>
    <x v="2"/>
  </r>
  <r>
    <x v="435"/>
    <x v="9"/>
    <x v="0"/>
    <x v="3"/>
    <n v="14"/>
    <n v="80"/>
    <n v="1120"/>
    <n v="0.05"/>
    <n v="56"/>
    <n v="1064"/>
    <x v="3"/>
  </r>
  <r>
    <x v="436"/>
    <x v="10"/>
    <x v="3"/>
    <x v="2"/>
    <n v="12"/>
    <n v="16"/>
    <n v="192"/>
    <n v="0.11"/>
    <n v="21.12"/>
    <n v="171"/>
    <x v="4"/>
  </r>
  <r>
    <x v="437"/>
    <x v="10"/>
    <x v="1"/>
    <x v="4"/>
    <n v="11"/>
    <n v="40"/>
    <n v="440"/>
    <n v="0.05"/>
    <n v="22"/>
    <n v="418"/>
    <x v="5"/>
  </r>
  <r>
    <x v="438"/>
    <x v="10"/>
    <x v="3"/>
    <x v="2"/>
    <n v="14"/>
    <n v="16"/>
    <n v="224"/>
    <n v="0.01"/>
    <n v="2.2400000000000002"/>
    <n v="222"/>
    <x v="6"/>
  </r>
  <r>
    <x v="439"/>
    <x v="10"/>
    <x v="2"/>
    <x v="3"/>
    <n v="2"/>
    <n v="230"/>
    <n v="460"/>
    <n v="0.08"/>
    <n v="36.800000000000004"/>
    <n v="423"/>
    <x v="7"/>
  </r>
  <r>
    <x v="440"/>
    <x v="10"/>
    <x v="3"/>
    <x v="0"/>
    <n v="20"/>
    <n v="16"/>
    <n v="320"/>
    <n v="0.11"/>
    <n v="35.200000000000003"/>
    <n v="285"/>
    <x v="8"/>
  </r>
  <r>
    <x v="441"/>
    <x v="10"/>
    <x v="3"/>
    <x v="2"/>
    <n v="6"/>
    <n v="16"/>
    <n v="96"/>
    <n v="0.06"/>
    <n v="5.76"/>
    <n v="90"/>
    <x v="9"/>
  </r>
  <r>
    <x v="442"/>
    <x v="10"/>
    <x v="0"/>
    <x v="3"/>
    <n v="17"/>
    <n v="80"/>
    <n v="1360"/>
    <n v="0.05"/>
    <n v="68"/>
    <n v="1292"/>
    <x v="10"/>
  </r>
  <r>
    <x v="443"/>
    <x v="10"/>
    <x v="1"/>
    <x v="0"/>
    <n v="2"/>
    <n v="40"/>
    <n v="80"/>
    <n v="0.12"/>
    <n v="9.6"/>
    <n v="70"/>
    <x v="11"/>
  </r>
  <r>
    <x v="444"/>
    <x v="10"/>
    <x v="3"/>
    <x v="0"/>
    <n v="7"/>
    <n v="16"/>
    <n v="112"/>
    <n v="0.12"/>
    <n v="13.44"/>
    <n v="99"/>
    <x v="0"/>
  </r>
  <r>
    <x v="445"/>
    <x v="10"/>
    <x v="4"/>
    <x v="0"/>
    <n v="7"/>
    <n v="150"/>
    <n v="1050"/>
    <n v="0.02"/>
    <n v="21"/>
    <n v="1029"/>
    <x v="1"/>
  </r>
  <r>
    <x v="446"/>
    <x v="10"/>
    <x v="0"/>
    <x v="0"/>
    <n v="20"/>
    <n v="80"/>
    <n v="1600"/>
    <n v="0.01"/>
    <n v="16"/>
    <n v="1584"/>
    <x v="2"/>
  </r>
  <r>
    <x v="447"/>
    <x v="10"/>
    <x v="0"/>
    <x v="3"/>
    <n v="11"/>
    <n v="80"/>
    <n v="880"/>
    <n v="0.01"/>
    <n v="8.8000000000000007"/>
    <n v="871"/>
    <x v="3"/>
  </r>
  <r>
    <x v="448"/>
    <x v="10"/>
    <x v="0"/>
    <x v="2"/>
    <n v="10"/>
    <n v="80"/>
    <n v="800"/>
    <n v="0.08"/>
    <n v="64"/>
    <n v="736"/>
    <x v="4"/>
  </r>
  <r>
    <x v="449"/>
    <x v="11"/>
    <x v="0"/>
    <x v="1"/>
    <n v="5"/>
    <n v="80"/>
    <n v="400"/>
    <n v="0.04"/>
    <n v="16"/>
    <n v="384"/>
    <x v="5"/>
  </r>
  <r>
    <x v="450"/>
    <x v="11"/>
    <x v="0"/>
    <x v="3"/>
    <n v="4"/>
    <n v="80"/>
    <n v="320"/>
    <n v="0.11"/>
    <n v="35.200000000000003"/>
    <n v="285"/>
    <x v="6"/>
  </r>
  <r>
    <x v="451"/>
    <x v="11"/>
    <x v="3"/>
    <x v="2"/>
    <n v="3"/>
    <n v="16"/>
    <n v="48"/>
    <n v="0.05"/>
    <n v="2.4000000000000004"/>
    <n v="46"/>
    <x v="7"/>
  </r>
  <r>
    <x v="452"/>
    <x v="11"/>
    <x v="0"/>
    <x v="0"/>
    <n v="9"/>
    <n v="80"/>
    <n v="720"/>
    <n v="0.04"/>
    <n v="28.8"/>
    <n v="691"/>
    <x v="8"/>
  </r>
  <r>
    <x v="453"/>
    <x v="11"/>
    <x v="0"/>
    <x v="4"/>
    <n v="16"/>
    <n v="80"/>
    <n v="1280"/>
    <n v="0.09"/>
    <n v="115.19999999999999"/>
    <n v="1165"/>
    <x v="9"/>
  </r>
  <r>
    <x v="454"/>
    <x v="12"/>
    <x v="3"/>
    <x v="1"/>
    <n v="7"/>
    <n v="16"/>
    <n v="112"/>
    <n v="0.08"/>
    <n v="8.9600000000000009"/>
    <n v="103"/>
    <x v="10"/>
  </r>
  <r>
    <x v="455"/>
    <x v="12"/>
    <x v="4"/>
    <x v="1"/>
    <n v="16"/>
    <n v="150"/>
    <n v="2400"/>
    <n v="0.05"/>
    <n v="120"/>
    <n v="2280"/>
    <x v="11"/>
  </r>
  <r>
    <x v="456"/>
    <x v="12"/>
    <x v="3"/>
    <x v="3"/>
    <n v="10"/>
    <n v="16"/>
    <n v="160"/>
    <n v="0.04"/>
    <n v="6.4"/>
    <n v="154"/>
    <x v="0"/>
  </r>
  <r>
    <x v="457"/>
    <x v="12"/>
    <x v="1"/>
    <x v="1"/>
    <n v="4"/>
    <n v="40"/>
    <n v="160"/>
    <n v="0.03"/>
    <n v="4.8"/>
    <n v="155"/>
    <x v="1"/>
  </r>
  <r>
    <x v="458"/>
    <x v="12"/>
    <x v="1"/>
    <x v="1"/>
    <n v="15"/>
    <n v="40"/>
    <n v="600"/>
    <n v="0.02"/>
    <n v="12"/>
    <n v="588"/>
    <x v="2"/>
  </r>
  <r>
    <x v="459"/>
    <x v="12"/>
    <x v="0"/>
    <x v="2"/>
    <n v="6"/>
    <n v="80"/>
    <n v="480"/>
    <n v="0.09"/>
    <n v="43.199999999999996"/>
    <n v="437"/>
    <x v="3"/>
  </r>
  <r>
    <x v="460"/>
    <x v="12"/>
    <x v="4"/>
    <x v="0"/>
    <n v="20"/>
    <n v="150"/>
    <n v="3000"/>
    <n v="0.01"/>
    <n v="30"/>
    <n v="2970"/>
    <x v="4"/>
  </r>
  <r>
    <x v="461"/>
    <x v="12"/>
    <x v="3"/>
    <x v="0"/>
    <n v="7"/>
    <n v="16"/>
    <n v="112"/>
    <n v="0.08"/>
    <n v="8.9600000000000009"/>
    <n v="103"/>
    <x v="5"/>
  </r>
  <r>
    <x v="462"/>
    <x v="12"/>
    <x v="0"/>
    <x v="1"/>
    <n v="2"/>
    <n v="80"/>
    <n v="160"/>
    <n v="7.0000000000000007E-2"/>
    <n v="11.200000000000001"/>
    <n v="149"/>
    <x v="6"/>
  </r>
  <r>
    <x v="463"/>
    <x v="12"/>
    <x v="1"/>
    <x v="1"/>
    <n v="23"/>
    <n v="40"/>
    <n v="920"/>
    <n v="0.06"/>
    <n v="55.199999999999996"/>
    <n v="865"/>
    <x v="7"/>
  </r>
  <r>
    <x v="464"/>
    <x v="12"/>
    <x v="3"/>
    <x v="0"/>
    <n v="12"/>
    <n v="16"/>
    <n v="192"/>
    <n v="0.11"/>
    <n v="21.12"/>
    <n v="171"/>
    <x v="8"/>
  </r>
  <r>
    <x v="465"/>
    <x v="12"/>
    <x v="2"/>
    <x v="3"/>
    <n v="2"/>
    <n v="230"/>
    <n v="460"/>
    <n v="0.09"/>
    <n v="41.4"/>
    <n v="419"/>
    <x v="9"/>
  </r>
  <r>
    <x v="466"/>
    <x v="12"/>
    <x v="4"/>
    <x v="0"/>
    <n v="4"/>
    <n v="150"/>
    <n v="600"/>
    <n v="0.06"/>
    <n v="36"/>
    <n v="564"/>
    <x v="10"/>
  </r>
  <r>
    <x v="467"/>
    <x v="12"/>
    <x v="1"/>
    <x v="0"/>
    <n v="23"/>
    <n v="40"/>
    <n v="920"/>
    <n v="7.0000000000000007E-2"/>
    <n v="64.400000000000006"/>
    <n v="856"/>
    <x v="11"/>
  </r>
  <r>
    <x v="468"/>
    <x v="12"/>
    <x v="3"/>
    <x v="4"/>
    <n v="2"/>
    <n v="16"/>
    <n v="32"/>
    <n v="0.04"/>
    <n v="1.28"/>
    <n v="31"/>
    <x v="0"/>
  </r>
  <r>
    <x v="469"/>
    <x v="12"/>
    <x v="4"/>
    <x v="3"/>
    <n v="7"/>
    <n v="150"/>
    <n v="1050"/>
    <n v="0.05"/>
    <n v="52.5"/>
    <n v="998"/>
    <x v="1"/>
  </r>
  <r>
    <x v="470"/>
    <x v="13"/>
    <x v="1"/>
    <x v="0"/>
    <n v="15"/>
    <n v="40"/>
    <n v="600"/>
    <n v="0.06"/>
    <n v="36"/>
    <n v="564"/>
    <x v="2"/>
  </r>
  <r>
    <x v="471"/>
    <x v="13"/>
    <x v="0"/>
    <x v="3"/>
    <n v="16"/>
    <n v="80"/>
    <n v="1280"/>
    <n v="0.05"/>
    <n v="64"/>
    <n v="1216"/>
    <x v="3"/>
  </r>
  <r>
    <x v="472"/>
    <x v="13"/>
    <x v="1"/>
    <x v="4"/>
    <n v="16"/>
    <n v="40"/>
    <n v="640"/>
    <n v="0.11"/>
    <n v="70.400000000000006"/>
    <n v="570"/>
    <x v="4"/>
  </r>
  <r>
    <x v="473"/>
    <x v="13"/>
    <x v="3"/>
    <x v="4"/>
    <n v="23"/>
    <n v="16"/>
    <n v="368"/>
    <n v="0.01"/>
    <n v="3.68"/>
    <n v="364"/>
    <x v="5"/>
  </r>
  <r>
    <x v="474"/>
    <x v="13"/>
    <x v="2"/>
    <x v="1"/>
    <n v="12"/>
    <n v="230"/>
    <n v="2760"/>
    <n v="0.03"/>
    <n v="82.8"/>
    <n v="2677"/>
    <x v="6"/>
  </r>
  <r>
    <x v="475"/>
    <x v="13"/>
    <x v="3"/>
    <x v="0"/>
    <n v="4"/>
    <n v="16"/>
    <n v="64"/>
    <n v="0.12"/>
    <n v="7.68"/>
    <n v="56"/>
    <x v="7"/>
  </r>
  <r>
    <x v="476"/>
    <x v="13"/>
    <x v="4"/>
    <x v="3"/>
    <n v="3"/>
    <n v="150"/>
    <n v="450"/>
    <n v="0.01"/>
    <n v="4.5"/>
    <n v="446"/>
    <x v="8"/>
  </r>
  <r>
    <x v="477"/>
    <x v="13"/>
    <x v="4"/>
    <x v="1"/>
    <n v="10"/>
    <n v="150"/>
    <n v="1500"/>
    <n v="0.01"/>
    <n v="15"/>
    <n v="1485"/>
    <x v="9"/>
  </r>
  <r>
    <x v="478"/>
    <x v="13"/>
    <x v="0"/>
    <x v="1"/>
    <n v="13"/>
    <n v="80"/>
    <n v="1040"/>
    <n v="0.06"/>
    <n v="62.4"/>
    <n v="978"/>
    <x v="10"/>
  </r>
  <r>
    <x v="479"/>
    <x v="13"/>
    <x v="2"/>
    <x v="2"/>
    <n v="15"/>
    <n v="230"/>
    <n v="3450"/>
    <n v="0.04"/>
    <n v="138"/>
    <n v="3312"/>
    <x v="11"/>
  </r>
  <r>
    <x v="480"/>
    <x v="13"/>
    <x v="4"/>
    <x v="0"/>
    <n v="23"/>
    <n v="150"/>
    <n v="3450"/>
    <n v="0.1"/>
    <n v="345"/>
    <n v="3105"/>
    <x v="0"/>
  </r>
  <r>
    <x v="481"/>
    <x v="13"/>
    <x v="4"/>
    <x v="1"/>
    <n v="15"/>
    <n v="150"/>
    <n v="2250"/>
    <n v="0.12"/>
    <n v="270"/>
    <n v="1980"/>
    <x v="1"/>
  </r>
  <r>
    <x v="482"/>
    <x v="13"/>
    <x v="4"/>
    <x v="2"/>
    <n v="20"/>
    <n v="150"/>
    <n v="3000"/>
    <n v="0.12"/>
    <n v="360"/>
    <n v="2640"/>
    <x v="2"/>
  </r>
  <r>
    <x v="483"/>
    <x v="13"/>
    <x v="1"/>
    <x v="3"/>
    <n v="13"/>
    <n v="40"/>
    <n v="520"/>
    <n v="0.09"/>
    <n v="46.8"/>
    <n v="473"/>
    <x v="3"/>
  </r>
  <r>
    <x v="484"/>
    <x v="14"/>
    <x v="3"/>
    <x v="2"/>
    <n v="11"/>
    <n v="16"/>
    <n v="176"/>
    <n v="0.04"/>
    <n v="7.04"/>
    <n v="169"/>
    <x v="4"/>
  </r>
  <r>
    <x v="485"/>
    <x v="14"/>
    <x v="4"/>
    <x v="2"/>
    <n v="20"/>
    <n v="150"/>
    <n v="3000"/>
    <n v="0.04"/>
    <n v="120"/>
    <n v="2880"/>
    <x v="5"/>
  </r>
  <r>
    <x v="486"/>
    <x v="14"/>
    <x v="1"/>
    <x v="0"/>
    <n v="18"/>
    <n v="40"/>
    <n v="720"/>
    <n v="0.11"/>
    <n v="79.2"/>
    <n v="641"/>
    <x v="6"/>
  </r>
  <r>
    <x v="487"/>
    <x v="14"/>
    <x v="1"/>
    <x v="2"/>
    <n v="2"/>
    <n v="40"/>
    <n v="80"/>
    <n v="0.03"/>
    <n v="2.4"/>
    <n v="78"/>
    <x v="7"/>
  </r>
  <r>
    <x v="488"/>
    <x v="14"/>
    <x v="3"/>
    <x v="3"/>
    <n v="15"/>
    <n v="16"/>
    <n v="240"/>
    <n v="0.12"/>
    <n v="28.799999999999997"/>
    <n v="211"/>
    <x v="8"/>
  </r>
  <r>
    <x v="489"/>
    <x v="14"/>
    <x v="3"/>
    <x v="2"/>
    <n v="9"/>
    <n v="16"/>
    <n v="144"/>
    <n v="0.05"/>
    <n v="7.2"/>
    <n v="137"/>
    <x v="9"/>
  </r>
  <r>
    <x v="490"/>
    <x v="14"/>
    <x v="1"/>
    <x v="4"/>
    <n v="7"/>
    <n v="40"/>
    <n v="280"/>
    <n v="0.05"/>
    <n v="14"/>
    <n v="266"/>
    <x v="0"/>
  </r>
  <r>
    <x v="491"/>
    <x v="14"/>
    <x v="4"/>
    <x v="4"/>
    <n v="4"/>
    <n v="150"/>
    <n v="600"/>
    <n v="0.05"/>
    <n v="30"/>
    <n v="570"/>
    <x v="1"/>
  </r>
  <r>
    <x v="492"/>
    <x v="14"/>
    <x v="2"/>
    <x v="0"/>
    <n v="15"/>
    <n v="230"/>
    <n v="3450"/>
    <n v="0.05"/>
    <n v="172.5"/>
    <n v="3278"/>
    <x v="2"/>
  </r>
  <r>
    <x v="493"/>
    <x v="15"/>
    <x v="1"/>
    <x v="1"/>
    <n v="12"/>
    <n v="40"/>
    <n v="480"/>
    <n v="0.1"/>
    <n v="48"/>
    <n v="432"/>
    <x v="3"/>
  </r>
  <r>
    <x v="494"/>
    <x v="15"/>
    <x v="2"/>
    <x v="3"/>
    <n v="23"/>
    <n v="230"/>
    <n v="5290"/>
    <n v="0.06"/>
    <n v="317.39999999999998"/>
    <n v="4973"/>
    <x v="4"/>
  </r>
  <r>
    <x v="495"/>
    <x v="15"/>
    <x v="3"/>
    <x v="0"/>
    <n v="11"/>
    <n v="16"/>
    <n v="176"/>
    <n v="0.09"/>
    <n v="15.84"/>
    <n v="160"/>
    <x v="5"/>
  </r>
  <r>
    <x v="496"/>
    <x v="15"/>
    <x v="4"/>
    <x v="0"/>
    <n v="9"/>
    <n v="150"/>
    <n v="1350"/>
    <n v="0.1"/>
    <n v="135"/>
    <n v="1215"/>
    <x v="6"/>
  </r>
  <r>
    <x v="497"/>
    <x v="15"/>
    <x v="0"/>
    <x v="0"/>
    <n v="18"/>
    <n v="80"/>
    <n v="1440"/>
    <n v="0.02"/>
    <n v="28.8"/>
    <n v="1411"/>
    <x v="7"/>
  </r>
  <r>
    <x v="498"/>
    <x v="15"/>
    <x v="1"/>
    <x v="4"/>
    <n v="23"/>
    <n v="40"/>
    <n v="920"/>
    <n v="0.04"/>
    <n v="36.800000000000004"/>
    <n v="883"/>
    <x v="8"/>
  </r>
  <r>
    <x v="499"/>
    <x v="15"/>
    <x v="3"/>
    <x v="4"/>
    <n v="17"/>
    <n v="16"/>
    <n v="272"/>
    <n v="0.1"/>
    <n v="27.200000000000003"/>
    <n v="245"/>
    <x v="9"/>
  </r>
  <r>
    <x v="500"/>
    <x v="15"/>
    <x v="4"/>
    <x v="4"/>
    <n v="17"/>
    <n v="150"/>
    <n v="2550"/>
    <n v="0.02"/>
    <n v="51"/>
    <n v="2499"/>
    <x v="10"/>
  </r>
  <r>
    <x v="501"/>
    <x v="15"/>
    <x v="0"/>
    <x v="3"/>
    <n v="21"/>
    <n v="80"/>
    <n v="1680"/>
    <n v="0.02"/>
    <n v="33.6"/>
    <n v="1646"/>
    <x v="11"/>
  </r>
  <r>
    <x v="502"/>
    <x v="15"/>
    <x v="1"/>
    <x v="3"/>
    <n v="11"/>
    <n v="40"/>
    <n v="440"/>
    <n v="0.06"/>
    <n v="26.4"/>
    <n v="414"/>
    <x v="0"/>
  </r>
  <r>
    <x v="503"/>
    <x v="15"/>
    <x v="1"/>
    <x v="0"/>
    <n v="19"/>
    <n v="40"/>
    <n v="760"/>
    <n v="0.04"/>
    <n v="30.400000000000002"/>
    <n v="730"/>
    <x v="1"/>
  </r>
  <r>
    <x v="504"/>
    <x v="15"/>
    <x v="1"/>
    <x v="0"/>
    <n v="23"/>
    <n v="40"/>
    <n v="920"/>
    <n v="0.03"/>
    <n v="27.599999999999998"/>
    <n v="892"/>
    <x v="2"/>
  </r>
  <r>
    <x v="505"/>
    <x v="15"/>
    <x v="2"/>
    <x v="1"/>
    <n v="14"/>
    <n v="230"/>
    <n v="3220"/>
    <n v="0.05"/>
    <n v="161"/>
    <n v="3059"/>
    <x v="3"/>
  </r>
  <r>
    <x v="506"/>
    <x v="15"/>
    <x v="1"/>
    <x v="2"/>
    <n v="18"/>
    <n v="40"/>
    <n v="720"/>
    <n v="0.03"/>
    <n v="21.599999999999998"/>
    <n v="698"/>
    <x v="4"/>
  </r>
  <r>
    <x v="507"/>
    <x v="15"/>
    <x v="4"/>
    <x v="1"/>
    <n v="2"/>
    <n v="150"/>
    <n v="300"/>
    <n v="0.09"/>
    <n v="27"/>
    <n v="273"/>
    <x v="5"/>
  </r>
  <r>
    <x v="508"/>
    <x v="15"/>
    <x v="2"/>
    <x v="1"/>
    <n v="7"/>
    <n v="230"/>
    <n v="1610"/>
    <n v="0.05"/>
    <n v="80.5"/>
    <n v="1530"/>
    <x v="6"/>
  </r>
  <r>
    <x v="509"/>
    <x v="16"/>
    <x v="4"/>
    <x v="2"/>
    <n v="9"/>
    <n v="150"/>
    <n v="1350"/>
    <n v="0.02"/>
    <n v="27"/>
    <n v="1323"/>
    <x v="7"/>
  </r>
  <r>
    <x v="510"/>
    <x v="16"/>
    <x v="1"/>
    <x v="4"/>
    <n v="3"/>
    <n v="40"/>
    <n v="120"/>
    <n v="0.03"/>
    <n v="3.5999999999999996"/>
    <n v="116"/>
    <x v="8"/>
  </r>
  <r>
    <x v="511"/>
    <x v="16"/>
    <x v="0"/>
    <x v="3"/>
    <n v="2"/>
    <n v="80"/>
    <n v="160"/>
    <n v="0.08"/>
    <n v="12.8"/>
    <n v="147"/>
    <x v="9"/>
  </r>
  <r>
    <x v="512"/>
    <x v="16"/>
    <x v="3"/>
    <x v="4"/>
    <n v="19"/>
    <n v="16"/>
    <n v="304"/>
    <n v="0.02"/>
    <n v="6.08"/>
    <n v="298"/>
    <x v="10"/>
  </r>
  <r>
    <x v="513"/>
    <x v="16"/>
    <x v="3"/>
    <x v="1"/>
    <n v="21"/>
    <n v="16"/>
    <n v="336"/>
    <n v="0.02"/>
    <n v="6.72"/>
    <n v="329"/>
    <x v="11"/>
  </r>
  <r>
    <x v="514"/>
    <x v="16"/>
    <x v="0"/>
    <x v="3"/>
    <n v="21"/>
    <n v="80"/>
    <n v="1680"/>
    <n v="0.05"/>
    <n v="84"/>
    <n v="1596"/>
    <x v="0"/>
  </r>
  <r>
    <x v="515"/>
    <x v="16"/>
    <x v="2"/>
    <x v="4"/>
    <n v="3"/>
    <n v="230"/>
    <n v="690"/>
    <n v="0.1"/>
    <n v="69"/>
    <n v="621"/>
    <x v="1"/>
  </r>
  <r>
    <x v="516"/>
    <x v="16"/>
    <x v="1"/>
    <x v="2"/>
    <n v="4"/>
    <n v="40"/>
    <n v="160"/>
    <n v="0.11"/>
    <n v="17.600000000000001"/>
    <n v="142"/>
    <x v="2"/>
  </r>
  <r>
    <x v="517"/>
    <x v="16"/>
    <x v="4"/>
    <x v="4"/>
    <n v="7"/>
    <n v="150"/>
    <n v="1050"/>
    <n v="0.03"/>
    <n v="31.5"/>
    <n v="1018"/>
    <x v="3"/>
  </r>
  <r>
    <x v="518"/>
    <x v="16"/>
    <x v="3"/>
    <x v="2"/>
    <n v="11"/>
    <n v="16"/>
    <n v="176"/>
    <n v="0.12"/>
    <n v="21.119999999999997"/>
    <n v="155"/>
    <x v="4"/>
  </r>
  <r>
    <x v="519"/>
    <x v="16"/>
    <x v="0"/>
    <x v="0"/>
    <n v="17"/>
    <n v="80"/>
    <n v="1360"/>
    <n v="7.0000000000000007E-2"/>
    <n v="95.2"/>
    <n v="1265"/>
    <x v="5"/>
  </r>
  <r>
    <x v="520"/>
    <x v="16"/>
    <x v="3"/>
    <x v="3"/>
    <n v="5"/>
    <n v="16"/>
    <n v="80"/>
    <n v="0.09"/>
    <n v="7.1999999999999993"/>
    <n v="73"/>
    <x v="6"/>
  </r>
  <r>
    <x v="521"/>
    <x v="16"/>
    <x v="3"/>
    <x v="4"/>
    <n v="13"/>
    <n v="16"/>
    <n v="208"/>
    <n v="7.0000000000000007E-2"/>
    <n v="14.560000000000002"/>
    <n v="193"/>
    <x v="7"/>
  </r>
  <r>
    <x v="522"/>
    <x v="16"/>
    <x v="0"/>
    <x v="4"/>
    <n v="9"/>
    <n v="80"/>
    <n v="720"/>
    <n v="0.02"/>
    <n v="14.4"/>
    <n v="706"/>
    <x v="8"/>
  </r>
  <r>
    <x v="523"/>
    <x v="17"/>
    <x v="0"/>
    <x v="4"/>
    <n v="9"/>
    <n v="80"/>
    <n v="720"/>
    <n v="0.02"/>
    <n v="14.4"/>
    <n v="706"/>
    <x v="9"/>
  </r>
  <r>
    <x v="524"/>
    <x v="17"/>
    <x v="0"/>
    <x v="3"/>
    <n v="22"/>
    <n v="80"/>
    <n v="1760"/>
    <n v="0.03"/>
    <n v="52.8"/>
    <n v="1707"/>
    <x v="10"/>
  </r>
  <r>
    <x v="525"/>
    <x v="17"/>
    <x v="4"/>
    <x v="0"/>
    <n v="13"/>
    <n v="150"/>
    <n v="1950"/>
    <n v="0.05"/>
    <n v="97.5"/>
    <n v="1852"/>
    <x v="11"/>
  </r>
  <r>
    <x v="526"/>
    <x v="17"/>
    <x v="0"/>
    <x v="0"/>
    <n v="14"/>
    <n v="80"/>
    <n v="1120"/>
    <n v="0.08"/>
    <n v="89.600000000000009"/>
    <n v="1030"/>
    <x v="0"/>
  </r>
  <r>
    <x v="527"/>
    <x v="17"/>
    <x v="0"/>
    <x v="0"/>
    <n v="6"/>
    <n v="80"/>
    <n v="480"/>
    <n v="7.0000000000000007E-2"/>
    <n v="33.6"/>
    <n v="446"/>
    <x v="1"/>
  </r>
  <r>
    <x v="528"/>
    <x v="17"/>
    <x v="0"/>
    <x v="0"/>
    <n v="16"/>
    <n v="80"/>
    <n v="1280"/>
    <n v="0.03"/>
    <n v="38.4"/>
    <n v="1242"/>
    <x v="2"/>
  </r>
  <r>
    <x v="529"/>
    <x v="17"/>
    <x v="4"/>
    <x v="2"/>
    <n v="22"/>
    <n v="150"/>
    <n v="3300"/>
    <n v="0.09"/>
    <n v="297"/>
    <n v="3003"/>
    <x v="3"/>
  </r>
  <r>
    <x v="530"/>
    <x v="17"/>
    <x v="4"/>
    <x v="3"/>
    <n v="4"/>
    <n v="150"/>
    <n v="600"/>
    <n v="0.12"/>
    <n v="72"/>
    <n v="528"/>
    <x v="4"/>
  </r>
  <r>
    <x v="531"/>
    <x v="17"/>
    <x v="2"/>
    <x v="4"/>
    <n v="7"/>
    <n v="230"/>
    <n v="1610"/>
    <n v="0.05"/>
    <n v="80.5"/>
    <n v="1530"/>
    <x v="5"/>
  </r>
  <r>
    <x v="532"/>
    <x v="17"/>
    <x v="4"/>
    <x v="3"/>
    <n v="20"/>
    <n v="150"/>
    <n v="3000"/>
    <n v="0.1"/>
    <n v="300"/>
    <n v="2700"/>
    <x v="6"/>
  </r>
  <r>
    <x v="533"/>
    <x v="17"/>
    <x v="2"/>
    <x v="3"/>
    <n v="8"/>
    <n v="230"/>
    <n v="1840"/>
    <n v="0.05"/>
    <n v="92"/>
    <n v="1748"/>
    <x v="7"/>
  </r>
  <r>
    <x v="534"/>
    <x v="18"/>
    <x v="1"/>
    <x v="3"/>
    <n v="9"/>
    <n v="40"/>
    <n v="360"/>
    <n v="0.06"/>
    <n v="21.599999999999998"/>
    <n v="338"/>
    <x v="8"/>
  </r>
  <r>
    <x v="535"/>
    <x v="18"/>
    <x v="2"/>
    <x v="3"/>
    <n v="19"/>
    <n v="230"/>
    <n v="4370"/>
    <n v="0.06"/>
    <n v="262.2"/>
    <n v="4108"/>
    <x v="9"/>
  </r>
  <r>
    <x v="536"/>
    <x v="18"/>
    <x v="1"/>
    <x v="3"/>
    <n v="22"/>
    <n v="40"/>
    <n v="880"/>
    <n v="0.01"/>
    <n v="8.8000000000000007"/>
    <n v="871"/>
    <x v="10"/>
  </r>
  <r>
    <x v="537"/>
    <x v="18"/>
    <x v="1"/>
    <x v="0"/>
    <n v="22"/>
    <n v="40"/>
    <n v="880"/>
    <n v="0.02"/>
    <n v="17.600000000000001"/>
    <n v="862"/>
    <x v="11"/>
  </r>
  <r>
    <x v="538"/>
    <x v="18"/>
    <x v="0"/>
    <x v="4"/>
    <n v="10"/>
    <n v="80"/>
    <n v="800"/>
    <n v="0.06"/>
    <n v="48"/>
    <n v="752"/>
    <x v="0"/>
  </r>
  <r>
    <x v="539"/>
    <x v="18"/>
    <x v="1"/>
    <x v="3"/>
    <n v="7"/>
    <n v="40"/>
    <n v="280"/>
    <n v="0.11"/>
    <n v="30.8"/>
    <n v="249"/>
    <x v="1"/>
  </r>
  <r>
    <x v="540"/>
    <x v="18"/>
    <x v="2"/>
    <x v="0"/>
    <n v="7"/>
    <n v="230"/>
    <n v="1610"/>
    <n v="0.08"/>
    <n v="128.80000000000001"/>
    <n v="1481"/>
    <x v="2"/>
  </r>
  <r>
    <x v="541"/>
    <x v="18"/>
    <x v="3"/>
    <x v="0"/>
    <n v="18"/>
    <n v="16"/>
    <n v="288"/>
    <n v="0.11"/>
    <n v="31.68"/>
    <n v="256"/>
    <x v="3"/>
  </r>
  <r>
    <x v="542"/>
    <x v="18"/>
    <x v="2"/>
    <x v="2"/>
    <n v="14"/>
    <n v="230"/>
    <n v="3220"/>
    <n v="0.12"/>
    <n v="386.4"/>
    <n v="2834"/>
    <x v="4"/>
  </r>
  <r>
    <x v="543"/>
    <x v="18"/>
    <x v="1"/>
    <x v="1"/>
    <n v="21"/>
    <n v="40"/>
    <n v="840"/>
    <n v="0.03"/>
    <n v="25.2"/>
    <n v="815"/>
    <x v="5"/>
  </r>
  <r>
    <x v="544"/>
    <x v="18"/>
    <x v="4"/>
    <x v="0"/>
    <n v="3"/>
    <n v="150"/>
    <n v="450"/>
    <n v="0.03"/>
    <n v="13.5"/>
    <n v="436"/>
    <x v="6"/>
  </r>
  <r>
    <x v="545"/>
    <x v="18"/>
    <x v="0"/>
    <x v="0"/>
    <n v="12"/>
    <n v="80"/>
    <n v="960"/>
    <n v="0.04"/>
    <n v="38.4"/>
    <n v="922"/>
    <x v="7"/>
  </r>
  <r>
    <x v="546"/>
    <x v="19"/>
    <x v="4"/>
    <x v="3"/>
    <n v="6"/>
    <n v="150"/>
    <n v="900"/>
    <n v="0.03"/>
    <n v="27"/>
    <n v="873"/>
    <x v="8"/>
  </r>
  <r>
    <x v="547"/>
    <x v="19"/>
    <x v="1"/>
    <x v="2"/>
    <n v="20"/>
    <n v="40"/>
    <n v="800"/>
    <n v="0.01"/>
    <n v="8"/>
    <n v="792"/>
    <x v="9"/>
  </r>
  <r>
    <x v="548"/>
    <x v="19"/>
    <x v="2"/>
    <x v="0"/>
    <n v="3"/>
    <n v="230"/>
    <n v="690"/>
    <n v="0.06"/>
    <n v="41.4"/>
    <n v="649"/>
    <x v="6"/>
  </r>
  <r>
    <x v="549"/>
    <x v="19"/>
    <x v="2"/>
    <x v="3"/>
    <n v="3"/>
    <n v="230"/>
    <n v="690"/>
    <n v="0.01"/>
    <n v="6.9"/>
    <n v="683"/>
    <x v="7"/>
  </r>
  <r>
    <x v="550"/>
    <x v="19"/>
    <x v="1"/>
    <x v="0"/>
    <n v="20"/>
    <n v="40"/>
    <n v="800"/>
    <n v="0.04"/>
    <n v="32"/>
    <n v="768"/>
    <x v="8"/>
  </r>
  <r>
    <x v="551"/>
    <x v="19"/>
    <x v="0"/>
    <x v="2"/>
    <n v="16"/>
    <n v="80"/>
    <n v="1280"/>
    <n v="0.02"/>
    <n v="25.6"/>
    <n v="1254"/>
    <x v="9"/>
  </r>
  <r>
    <x v="552"/>
    <x v="19"/>
    <x v="4"/>
    <x v="0"/>
    <n v="8"/>
    <n v="150"/>
    <n v="1200"/>
    <n v="0.09"/>
    <n v="108"/>
    <n v="1092"/>
    <x v="6"/>
  </r>
  <r>
    <x v="553"/>
    <x v="20"/>
    <x v="2"/>
    <x v="1"/>
    <n v="7"/>
    <n v="230"/>
    <n v="1610"/>
    <n v="0.01"/>
    <n v="16.100000000000001"/>
    <n v="1594"/>
    <x v="7"/>
  </r>
  <r>
    <x v="554"/>
    <x v="20"/>
    <x v="4"/>
    <x v="1"/>
    <n v="23"/>
    <n v="150"/>
    <n v="3450"/>
    <n v="0.11"/>
    <n v="379.5"/>
    <n v="3070"/>
    <x v="8"/>
  </r>
  <r>
    <x v="555"/>
    <x v="20"/>
    <x v="1"/>
    <x v="4"/>
    <n v="16"/>
    <n v="40"/>
    <n v="640"/>
    <n v="0.09"/>
    <n v="57.599999999999994"/>
    <n v="582"/>
    <x v="9"/>
  </r>
  <r>
    <x v="556"/>
    <x v="20"/>
    <x v="1"/>
    <x v="4"/>
    <n v="20"/>
    <n v="40"/>
    <n v="800"/>
    <n v="0.1"/>
    <n v="80"/>
    <n v="720"/>
    <x v="6"/>
  </r>
  <r>
    <x v="557"/>
    <x v="20"/>
    <x v="1"/>
    <x v="1"/>
    <n v="18"/>
    <n v="40"/>
    <n v="720"/>
    <n v="0.08"/>
    <n v="57.6"/>
    <n v="662"/>
    <x v="7"/>
  </r>
  <r>
    <x v="558"/>
    <x v="20"/>
    <x v="0"/>
    <x v="4"/>
    <n v="22"/>
    <n v="80"/>
    <n v="1760"/>
    <n v="0.09"/>
    <n v="158.4"/>
    <n v="1602"/>
    <x v="8"/>
  </r>
  <r>
    <x v="559"/>
    <x v="20"/>
    <x v="4"/>
    <x v="1"/>
    <n v="22"/>
    <n v="150"/>
    <n v="3300"/>
    <n v="0.02"/>
    <n v="66"/>
    <n v="3234"/>
    <x v="9"/>
  </r>
  <r>
    <x v="560"/>
    <x v="20"/>
    <x v="4"/>
    <x v="1"/>
    <n v="20"/>
    <n v="150"/>
    <n v="3000"/>
    <n v="0.09"/>
    <n v="270"/>
    <n v="2730"/>
    <x v="6"/>
  </r>
  <r>
    <x v="561"/>
    <x v="20"/>
    <x v="3"/>
    <x v="0"/>
    <n v="10"/>
    <n v="16"/>
    <n v="160"/>
    <n v="0.08"/>
    <n v="12.8"/>
    <n v="147"/>
    <x v="7"/>
  </r>
  <r>
    <x v="562"/>
    <x v="20"/>
    <x v="1"/>
    <x v="2"/>
    <n v="12"/>
    <n v="40"/>
    <n v="480"/>
    <n v="0.02"/>
    <n v="9.6"/>
    <n v="470"/>
    <x v="8"/>
  </r>
  <r>
    <x v="563"/>
    <x v="20"/>
    <x v="4"/>
    <x v="0"/>
    <n v="4"/>
    <n v="150"/>
    <n v="600"/>
    <n v="0.1"/>
    <n v="60"/>
    <n v="540"/>
    <x v="9"/>
  </r>
  <r>
    <x v="564"/>
    <x v="20"/>
    <x v="0"/>
    <x v="2"/>
    <n v="5"/>
    <n v="80"/>
    <n v="400"/>
    <n v="0.09"/>
    <n v="36"/>
    <n v="364"/>
    <x v="6"/>
  </r>
  <r>
    <x v="565"/>
    <x v="20"/>
    <x v="1"/>
    <x v="0"/>
    <n v="11"/>
    <n v="40"/>
    <n v="440"/>
    <n v="0.04"/>
    <n v="17.600000000000001"/>
    <n v="422"/>
    <x v="7"/>
  </r>
  <r>
    <x v="566"/>
    <x v="20"/>
    <x v="4"/>
    <x v="1"/>
    <n v="13"/>
    <n v="150"/>
    <n v="1950"/>
    <n v="0.08"/>
    <n v="156"/>
    <n v="1794"/>
    <x v="8"/>
  </r>
  <r>
    <x v="567"/>
    <x v="20"/>
    <x v="0"/>
    <x v="3"/>
    <n v="19"/>
    <n v="80"/>
    <n v="1520"/>
    <n v="0.02"/>
    <n v="30.400000000000002"/>
    <n v="1490"/>
    <x v="9"/>
  </r>
  <r>
    <x v="568"/>
    <x v="20"/>
    <x v="2"/>
    <x v="1"/>
    <n v="7"/>
    <n v="230"/>
    <n v="1610"/>
    <n v="0.01"/>
    <n v="16.100000000000001"/>
    <n v="1594"/>
    <x v="6"/>
  </r>
  <r>
    <x v="569"/>
    <x v="21"/>
    <x v="0"/>
    <x v="4"/>
    <n v="16"/>
    <n v="80"/>
    <n v="1280"/>
    <n v="0.09"/>
    <n v="115.19999999999999"/>
    <n v="1165"/>
    <x v="7"/>
  </r>
  <r>
    <x v="570"/>
    <x v="21"/>
    <x v="2"/>
    <x v="0"/>
    <n v="7"/>
    <n v="230"/>
    <n v="1610"/>
    <n v="0.02"/>
    <n v="32.200000000000003"/>
    <n v="1578"/>
    <x v="8"/>
  </r>
  <r>
    <x v="571"/>
    <x v="21"/>
    <x v="1"/>
    <x v="0"/>
    <n v="5"/>
    <n v="40"/>
    <n v="200"/>
    <n v="0.06"/>
    <n v="12"/>
    <n v="188"/>
    <x v="9"/>
  </r>
  <r>
    <x v="572"/>
    <x v="21"/>
    <x v="4"/>
    <x v="2"/>
    <n v="9"/>
    <n v="150"/>
    <n v="1350"/>
    <n v="0.06"/>
    <n v="81"/>
    <n v="1269"/>
    <x v="6"/>
  </r>
  <r>
    <x v="573"/>
    <x v="21"/>
    <x v="1"/>
    <x v="4"/>
    <n v="20"/>
    <n v="40"/>
    <n v="800"/>
    <n v="7.0000000000000007E-2"/>
    <n v="56.000000000000007"/>
    <n v="744"/>
    <x v="7"/>
  </r>
  <r>
    <x v="574"/>
    <x v="21"/>
    <x v="3"/>
    <x v="1"/>
    <n v="20"/>
    <n v="16"/>
    <n v="320"/>
    <n v="0.06"/>
    <n v="19.2"/>
    <n v="301"/>
    <x v="8"/>
  </r>
  <r>
    <x v="575"/>
    <x v="21"/>
    <x v="1"/>
    <x v="4"/>
    <n v="5"/>
    <n v="40"/>
    <n v="200"/>
    <n v="0.03"/>
    <n v="6"/>
    <n v="194"/>
    <x v="9"/>
  </r>
  <r>
    <x v="576"/>
    <x v="22"/>
    <x v="0"/>
    <x v="3"/>
    <n v="7"/>
    <n v="80"/>
    <n v="560"/>
    <n v="7.0000000000000007E-2"/>
    <n v="39.200000000000003"/>
    <n v="521"/>
    <x v="6"/>
  </r>
  <r>
    <x v="577"/>
    <x v="22"/>
    <x v="3"/>
    <x v="4"/>
    <n v="22"/>
    <n v="16"/>
    <n v="352"/>
    <n v="0.12"/>
    <n v="42.239999999999995"/>
    <n v="310"/>
    <x v="7"/>
  </r>
  <r>
    <x v="578"/>
    <x v="22"/>
    <x v="3"/>
    <x v="4"/>
    <n v="11"/>
    <n v="16"/>
    <n v="176"/>
    <n v="0.12"/>
    <n v="21.119999999999997"/>
    <n v="155"/>
    <x v="8"/>
  </r>
  <r>
    <x v="579"/>
    <x v="22"/>
    <x v="2"/>
    <x v="3"/>
    <n v="17"/>
    <n v="230"/>
    <n v="3910"/>
    <n v="0.12"/>
    <n v="469.2"/>
    <n v="3441"/>
    <x v="9"/>
  </r>
  <r>
    <x v="580"/>
    <x v="22"/>
    <x v="0"/>
    <x v="0"/>
    <n v="7"/>
    <n v="80"/>
    <n v="560"/>
    <n v="0.02"/>
    <n v="11.200000000000001"/>
    <n v="549"/>
    <x v="6"/>
  </r>
  <r>
    <x v="581"/>
    <x v="22"/>
    <x v="3"/>
    <x v="1"/>
    <n v="5"/>
    <n v="16"/>
    <n v="80"/>
    <n v="0.11"/>
    <n v="8.8000000000000007"/>
    <n v="71"/>
    <x v="7"/>
  </r>
  <r>
    <x v="582"/>
    <x v="22"/>
    <x v="4"/>
    <x v="4"/>
    <n v="18"/>
    <n v="150"/>
    <n v="2700"/>
    <n v="0.12"/>
    <n v="324"/>
    <n v="2376"/>
    <x v="8"/>
  </r>
  <r>
    <x v="583"/>
    <x v="22"/>
    <x v="1"/>
    <x v="4"/>
    <n v="10"/>
    <n v="40"/>
    <n v="400"/>
    <n v="0.03"/>
    <n v="12"/>
    <n v="388"/>
    <x v="9"/>
  </r>
  <r>
    <x v="584"/>
    <x v="22"/>
    <x v="1"/>
    <x v="4"/>
    <n v="14"/>
    <n v="40"/>
    <n v="560"/>
    <n v="0.11"/>
    <n v="61.6"/>
    <n v="498"/>
    <x v="6"/>
  </r>
  <r>
    <x v="585"/>
    <x v="22"/>
    <x v="1"/>
    <x v="4"/>
    <n v="16"/>
    <n v="40"/>
    <n v="640"/>
    <n v="0.09"/>
    <n v="57.599999999999994"/>
    <n v="582"/>
    <x v="7"/>
  </r>
  <r>
    <x v="586"/>
    <x v="23"/>
    <x v="1"/>
    <x v="3"/>
    <n v="23"/>
    <n v="40"/>
    <n v="920"/>
    <n v="0.06"/>
    <n v="55.199999999999996"/>
    <n v="865"/>
    <x v="8"/>
  </r>
  <r>
    <x v="587"/>
    <x v="23"/>
    <x v="2"/>
    <x v="3"/>
    <n v="8"/>
    <n v="230"/>
    <n v="1840"/>
    <n v="0.05"/>
    <n v="92"/>
    <n v="1748"/>
    <x v="9"/>
  </r>
  <r>
    <x v="588"/>
    <x v="23"/>
    <x v="3"/>
    <x v="3"/>
    <n v="14"/>
    <n v="16"/>
    <n v="224"/>
    <n v="0.12"/>
    <n v="26.88"/>
    <n v="197"/>
    <x v="6"/>
  </r>
  <r>
    <x v="589"/>
    <x v="23"/>
    <x v="0"/>
    <x v="0"/>
    <n v="17"/>
    <n v="80"/>
    <n v="1360"/>
    <n v="0.09"/>
    <n v="122.39999999999999"/>
    <n v="1238"/>
    <x v="7"/>
  </r>
  <r>
    <x v="590"/>
    <x v="23"/>
    <x v="4"/>
    <x v="2"/>
    <n v="11"/>
    <n v="150"/>
    <n v="1650"/>
    <n v="0.11"/>
    <n v="181.5"/>
    <n v="1468"/>
    <x v="8"/>
  </r>
  <r>
    <x v="591"/>
    <x v="23"/>
    <x v="1"/>
    <x v="3"/>
    <n v="15"/>
    <n v="40"/>
    <n v="600"/>
    <n v="0.03"/>
    <n v="18"/>
    <n v="582"/>
    <x v="9"/>
  </r>
  <r>
    <x v="592"/>
    <x v="23"/>
    <x v="0"/>
    <x v="4"/>
    <n v="9"/>
    <n v="80"/>
    <n v="720"/>
    <n v="7.0000000000000007E-2"/>
    <n v="50.400000000000006"/>
    <n v="670"/>
    <x v="6"/>
  </r>
  <r>
    <x v="593"/>
    <x v="23"/>
    <x v="2"/>
    <x v="1"/>
    <n v="22"/>
    <n v="230"/>
    <n v="5060"/>
    <n v="0.04"/>
    <n v="202.4"/>
    <n v="4858"/>
    <x v="7"/>
  </r>
  <r>
    <x v="594"/>
    <x v="23"/>
    <x v="2"/>
    <x v="1"/>
    <n v="11"/>
    <n v="230"/>
    <n v="2530"/>
    <n v="0.1"/>
    <n v="253"/>
    <n v="2277"/>
    <x v="8"/>
  </r>
  <r>
    <x v="595"/>
    <x v="23"/>
    <x v="1"/>
    <x v="2"/>
    <n v="11"/>
    <n v="40"/>
    <n v="440"/>
    <n v="0.12"/>
    <n v="52.8"/>
    <n v="387"/>
    <x v="9"/>
  </r>
  <r>
    <x v="596"/>
    <x v="23"/>
    <x v="1"/>
    <x v="3"/>
    <n v="9"/>
    <n v="40"/>
    <n v="360"/>
    <n v="0.06"/>
    <n v="21.599999999999998"/>
    <n v="338"/>
    <x v="6"/>
  </r>
  <r>
    <x v="597"/>
    <x v="24"/>
    <x v="1"/>
    <x v="3"/>
    <n v="13"/>
    <n v="40"/>
    <n v="520"/>
    <n v="0.09"/>
    <n v="46.8"/>
    <n v="473"/>
    <x v="7"/>
  </r>
  <r>
    <x v="598"/>
    <x v="24"/>
    <x v="1"/>
    <x v="1"/>
    <n v="4"/>
    <n v="40"/>
    <n v="160"/>
    <n v="0.12"/>
    <n v="19.2"/>
    <n v="141"/>
    <x v="8"/>
  </r>
  <r>
    <x v="599"/>
    <x v="24"/>
    <x v="4"/>
    <x v="0"/>
    <n v="22"/>
    <n v="150"/>
    <n v="3300"/>
    <n v="0.05"/>
    <n v="165"/>
    <n v="3135"/>
    <x v="9"/>
  </r>
  <r>
    <x v="600"/>
    <x v="24"/>
    <x v="1"/>
    <x v="4"/>
    <n v="21"/>
    <n v="40"/>
    <n v="840"/>
    <n v="0.01"/>
    <n v="8.4"/>
    <n v="832"/>
    <x v="6"/>
  </r>
  <r>
    <x v="601"/>
    <x v="24"/>
    <x v="3"/>
    <x v="0"/>
    <n v="16"/>
    <n v="16"/>
    <n v="256"/>
    <n v="0.03"/>
    <n v="7.68"/>
    <n v="248"/>
    <x v="7"/>
  </r>
  <r>
    <x v="602"/>
    <x v="24"/>
    <x v="0"/>
    <x v="3"/>
    <n v="16"/>
    <n v="80"/>
    <n v="1280"/>
    <n v="7.0000000000000007E-2"/>
    <n v="89.600000000000009"/>
    <n v="1190"/>
    <x v="8"/>
  </r>
  <r>
    <x v="603"/>
    <x v="24"/>
    <x v="0"/>
    <x v="1"/>
    <n v="15"/>
    <n v="80"/>
    <n v="1200"/>
    <n v="0.12"/>
    <n v="144"/>
    <n v="1056"/>
    <x v="9"/>
  </r>
  <r>
    <x v="604"/>
    <x v="24"/>
    <x v="4"/>
    <x v="0"/>
    <n v="20"/>
    <n v="150"/>
    <n v="3000"/>
    <n v="0.03"/>
    <n v="90"/>
    <n v="2910"/>
    <x v="6"/>
  </r>
  <r>
    <x v="605"/>
    <x v="24"/>
    <x v="1"/>
    <x v="3"/>
    <n v="13"/>
    <n v="40"/>
    <n v="520"/>
    <n v="0.06"/>
    <n v="31.2"/>
    <n v="489"/>
    <x v="7"/>
  </r>
  <r>
    <x v="606"/>
    <x v="24"/>
    <x v="3"/>
    <x v="4"/>
    <n v="3"/>
    <n v="16"/>
    <n v="48"/>
    <n v="0.06"/>
    <n v="2.88"/>
    <n v="45"/>
    <x v="8"/>
  </r>
  <r>
    <x v="607"/>
    <x v="24"/>
    <x v="3"/>
    <x v="2"/>
    <n v="11"/>
    <n v="16"/>
    <n v="176"/>
    <n v="0.04"/>
    <n v="7.04"/>
    <n v="169"/>
    <x v="9"/>
  </r>
  <r>
    <x v="608"/>
    <x v="25"/>
    <x v="1"/>
    <x v="4"/>
    <n v="16"/>
    <n v="40"/>
    <n v="640"/>
    <n v="0.09"/>
    <n v="57.599999999999994"/>
    <n v="582"/>
    <x v="6"/>
  </r>
  <r>
    <x v="609"/>
    <x v="25"/>
    <x v="1"/>
    <x v="2"/>
    <n v="4"/>
    <n v="40"/>
    <n v="160"/>
    <n v="0.06"/>
    <n v="9.6"/>
    <n v="150"/>
    <x v="7"/>
  </r>
  <r>
    <x v="610"/>
    <x v="25"/>
    <x v="1"/>
    <x v="2"/>
    <n v="20"/>
    <n v="40"/>
    <n v="800"/>
    <n v="0.01"/>
    <n v="8"/>
    <n v="792"/>
    <x v="8"/>
  </r>
  <r>
    <x v="611"/>
    <x v="25"/>
    <x v="1"/>
    <x v="2"/>
    <n v="4"/>
    <n v="40"/>
    <n v="160"/>
    <n v="0.1"/>
    <n v="16"/>
    <n v="144"/>
    <x v="9"/>
  </r>
  <r>
    <x v="612"/>
    <x v="25"/>
    <x v="0"/>
    <x v="1"/>
    <n v="14"/>
    <n v="80"/>
    <n v="1120"/>
    <n v="0.06"/>
    <n v="67.2"/>
    <n v="1053"/>
    <x v="6"/>
  </r>
  <r>
    <x v="613"/>
    <x v="25"/>
    <x v="4"/>
    <x v="1"/>
    <n v="15"/>
    <n v="150"/>
    <n v="2250"/>
    <n v="0.02"/>
    <n v="45"/>
    <n v="2205"/>
    <x v="7"/>
  </r>
  <r>
    <x v="614"/>
    <x v="25"/>
    <x v="0"/>
    <x v="2"/>
    <n v="14"/>
    <n v="80"/>
    <n v="1120"/>
    <n v="0.1"/>
    <n v="112"/>
    <n v="1008"/>
    <x v="8"/>
  </r>
  <r>
    <x v="615"/>
    <x v="25"/>
    <x v="4"/>
    <x v="0"/>
    <n v="20"/>
    <n v="150"/>
    <n v="3000"/>
    <n v="0.04"/>
    <n v="120"/>
    <n v="2880"/>
    <x v="9"/>
  </r>
  <r>
    <x v="616"/>
    <x v="25"/>
    <x v="0"/>
    <x v="4"/>
    <n v="22"/>
    <n v="80"/>
    <n v="1760"/>
    <n v="0.1"/>
    <n v="176"/>
    <n v="1584"/>
    <x v="6"/>
  </r>
  <r>
    <x v="617"/>
    <x v="25"/>
    <x v="2"/>
    <x v="4"/>
    <n v="20"/>
    <n v="230"/>
    <n v="4600"/>
    <n v="0.09"/>
    <n v="414"/>
    <n v="4186"/>
    <x v="7"/>
  </r>
  <r>
    <x v="618"/>
    <x v="25"/>
    <x v="2"/>
    <x v="2"/>
    <n v="12"/>
    <n v="230"/>
    <n v="2760"/>
    <n v="0.03"/>
    <n v="82.8"/>
    <n v="2677"/>
    <x v="8"/>
  </r>
  <r>
    <x v="619"/>
    <x v="26"/>
    <x v="0"/>
    <x v="0"/>
    <n v="21"/>
    <n v="80"/>
    <n v="1680"/>
    <n v="0.04"/>
    <n v="67.2"/>
    <n v="1613"/>
    <x v="9"/>
  </r>
  <r>
    <x v="620"/>
    <x v="26"/>
    <x v="1"/>
    <x v="1"/>
    <n v="15"/>
    <n v="40"/>
    <n v="600"/>
    <n v="0.04"/>
    <n v="24"/>
    <n v="576"/>
    <x v="6"/>
  </r>
  <r>
    <x v="621"/>
    <x v="26"/>
    <x v="0"/>
    <x v="3"/>
    <n v="16"/>
    <n v="80"/>
    <n v="1280"/>
    <n v="0.1"/>
    <n v="128"/>
    <n v="1152"/>
    <x v="7"/>
  </r>
  <r>
    <x v="622"/>
    <x v="26"/>
    <x v="2"/>
    <x v="4"/>
    <n v="17"/>
    <n v="230"/>
    <n v="3910"/>
    <n v="0.11"/>
    <n v="430.1"/>
    <n v="3480"/>
    <x v="8"/>
  </r>
  <r>
    <x v="623"/>
    <x v="26"/>
    <x v="2"/>
    <x v="4"/>
    <n v="5"/>
    <n v="230"/>
    <n v="1150"/>
    <n v="0.12"/>
    <n v="138"/>
    <n v="1012"/>
    <x v="9"/>
  </r>
  <r>
    <x v="624"/>
    <x v="26"/>
    <x v="3"/>
    <x v="0"/>
    <n v="20"/>
    <n v="16"/>
    <n v="320"/>
    <n v="0.01"/>
    <n v="3.2"/>
    <n v="317"/>
    <x v="6"/>
  </r>
  <r>
    <x v="625"/>
    <x v="26"/>
    <x v="2"/>
    <x v="0"/>
    <n v="5"/>
    <n v="230"/>
    <n v="1150"/>
    <n v="0.1"/>
    <n v="115"/>
    <n v="1035"/>
    <x v="7"/>
  </r>
  <r>
    <x v="626"/>
    <x v="26"/>
    <x v="1"/>
    <x v="1"/>
    <n v="8"/>
    <n v="40"/>
    <n v="320"/>
    <n v="0.09"/>
    <n v="28.799999999999997"/>
    <n v="291"/>
    <x v="8"/>
  </r>
  <r>
    <x v="627"/>
    <x v="26"/>
    <x v="3"/>
    <x v="0"/>
    <n v="7"/>
    <n v="16"/>
    <n v="112"/>
    <n v="0.02"/>
    <n v="2.2400000000000002"/>
    <n v="110"/>
    <x v="9"/>
  </r>
  <r>
    <x v="628"/>
    <x v="26"/>
    <x v="4"/>
    <x v="3"/>
    <n v="15"/>
    <n v="150"/>
    <n v="2250"/>
    <n v="0.08"/>
    <n v="180"/>
    <n v="2070"/>
    <x v="6"/>
  </r>
  <r>
    <x v="629"/>
    <x v="26"/>
    <x v="2"/>
    <x v="4"/>
    <n v="20"/>
    <n v="230"/>
    <n v="4600"/>
    <n v="0.11"/>
    <n v="506"/>
    <n v="4094"/>
    <x v="7"/>
  </r>
  <r>
    <x v="630"/>
    <x v="26"/>
    <x v="3"/>
    <x v="1"/>
    <n v="4"/>
    <n v="16"/>
    <n v="64"/>
    <n v="0.09"/>
    <n v="5.76"/>
    <n v="58"/>
    <x v="8"/>
  </r>
  <r>
    <x v="631"/>
    <x v="26"/>
    <x v="1"/>
    <x v="3"/>
    <n v="11"/>
    <n v="40"/>
    <n v="440"/>
    <n v="0.09"/>
    <n v="39.6"/>
    <n v="400"/>
    <x v="9"/>
  </r>
  <r>
    <x v="632"/>
    <x v="26"/>
    <x v="4"/>
    <x v="2"/>
    <n v="15"/>
    <n v="150"/>
    <n v="2250"/>
    <n v="0.05"/>
    <n v="112.5"/>
    <n v="2138"/>
    <x v="6"/>
  </r>
  <r>
    <x v="633"/>
    <x v="26"/>
    <x v="2"/>
    <x v="2"/>
    <n v="5"/>
    <n v="230"/>
    <n v="1150"/>
    <n v="0.01"/>
    <n v="11.5"/>
    <n v="1138"/>
    <x v="7"/>
  </r>
  <r>
    <x v="634"/>
    <x v="26"/>
    <x v="2"/>
    <x v="2"/>
    <n v="14"/>
    <n v="230"/>
    <n v="3220"/>
    <n v="0.03"/>
    <n v="96.6"/>
    <n v="3123"/>
    <x v="8"/>
  </r>
  <r>
    <x v="635"/>
    <x v="26"/>
    <x v="1"/>
    <x v="4"/>
    <n v="23"/>
    <n v="40"/>
    <n v="920"/>
    <n v="0.05"/>
    <n v="46"/>
    <n v="874"/>
    <x v="9"/>
  </r>
  <r>
    <x v="636"/>
    <x v="26"/>
    <x v="0"/>
    <x v="3"/>
    <n v="22"/>
    <n v="80"/>
    <n v="1760"/>
    <n v="0.03"/>
    <n v="52.8"/>
    <n v="1707"/>
    <x v="6"/>
  </r>
  <r>
    <x v="637"/>
    <x v="27"/>
    <x v="2"/>
    <x v="2"/>
    <n v="20"/>
    <n v="230"/>
    <n v="4600"/>
    <n v="0.06"/>
    <n v="276"/>
    <n v="4324"/>
    <x v="7"/>
  </r>
  <r>
    <x v="638"/>
    <x v="27"/>
    <x v="2"/>
    <x v="1"/>
    <n v="15"/>
    <n v="230"/>
    <n v="3450"/>
    <n v="0.09"/>
    <n v="310.5"/>
    <n v="3140"/>
    <x v="8"/>
  </r>
  <r>
    <x v="639"/>
    <x v="27"/>
    <x v="4"/>
    <x v="2"/>
    <n v="18"/>
    <n v="150"/>
    <n v="2700"/>
    <n v="0.06"/>
    <n v="162"/>
    <n v="2538"/>
    <x v="9"/>
  </r>
  <r>
    <x v="640"/>
    <x v="27"/>
    <x v="2"/>
    <x v="0"/>
    <n v="3"/>
    <n v="230"/>
    <n v="690"/>
    <n v="0.11"/>
    <n v="75.900000000000006"/>
    <n v="614"/>
    <x v="6"/>
  </r>
  <r>
    <x v="641"/>
    <x v="27"/>
    <x v="4"/>
    <x v="4"/>
    <n v="11"/>
    <n v="150"/>
    <n v="1650"/>
    <n v="0.09"/>
    <n v="148.5"/>
    <n v="1502"/>
    <x v="7"/>
  </r>
  <r>
    <x v="642"/>
    <x v="27"/>
    <x v="2"/>
    <x v="0"/>
    <n v="11"/>
    <n v="230"/>
    <n v="2530"/>
    <n v="0.02"/>
    <n v="50.6"/>
    <n v="2479"/>
    <x v="8"/>
  </r>
  <r>
    <x v="643"/>
    <x v="27"/>
    <x v="2"/>
    <x v="4"/>
    <n v="13"/>
    <n v="230"/>
    <n v="2990"/>
    <n v="0.06"/>
    <n v="179.4"/>
    <n v="2811"/>
    <x v="9"/>
  </r>
  <r>
    <x v="644"/>
    <x v="28"/>
    <x v="0"/>
    <x v="3"/>
    <n v="11"/>
    <n v="80"/>
    <n v="880"/>
    <n v="0.01"/>
    <n v="8.8000000000000007"/>
    <n v="871"/>
    <x v="6"/>
  </r>
  <r>
    <x v="645"/>
    <x v="28"/>
    <x v="0"/>
    <x v="4"/>
    <n v="17"/>
    <n v="80"/>
    <n v="1360"/>
    <n v="7.0000000000000007E-2"/>
    <n v="95.2"/>
    <n v="1265"/>
    <x v="7"/>
  </r>
  <r>
    <x v="646"/>
    <x v="28"/>
    <x v="4"/>
    <x v="4"/>
    <n v="15"/>
    <n v="150"/>
    <n v="2250"/>
    <n v="7.0000000000000007E-2"/>
    <n v="157.50000000000003"/>
    <n v="2092"/>
    <x v="8"/>
  </r>
  <r>
    <x v="647"/>
    <x v="28"/>
    <x v="3"/>
    <x v="4"/>
    <n v="14"/>
    <n v="16"/>
    <n v="224"/>
    <n v="0.06"/>
    <n v="13.44"/>
    <n v="211"/>
    <x v="9"/>
  </r>
  <r>
    <x v="648"/>
    <x v="28"/>
    <x v="3"/>
    <x v="1"/>
    <n v="4"/>
    <n v="16"/>
    <n v="64"/>
    <n v="7.0000000000000007E-2"/>
    <n v="4.4800000000000004"/>
    <n v="60"/>
    <x v="6"/>
  </r>
  <r>
    <x v="649"/>
    <x v="28"/>
    <x v="4"/>
    <x v="4"/>
    <n v="23"/>
    <n v="150"/>
    <n v="3450"/>
    <n v="0.08"/>
    <n v="276"/>
    <n v="3174"/>
    <x v="7"/>
  </r>
  <r>
    <x v="650"/>
    <x v="28"/>
    <x v="0"/>
    <x v="2"/>
    <n v="10"/>
    <n v="80"/>
    <n v="800"/>
    <n v="0.11"/>
    <n v="88"/>
    <n v="712"/>
    <x v="8"/>
  </r>
  <r>
    <x v="651"/>
    <x v="28"/>
    <x v="2"/>
    <x v="2"/>
    <n v="7"/>
    <n v="230"/>
    <n v="1610"/>
    <n v="0.01"/>
    <n v="16.100000000000001"/>
    <n v="1594"/>
    <x v="9"/>
  </r>
  <r>
    <x v="652"/>
    <x v="28"/>
    <x v="2"/>
    <x v="0"/>
    <n v="16"/>
    <n v="230"/>
    <n v="3680"/>
    <n v="7.0000000000000007E-2"/>
    <n v="257.60000000000002"/>
    <n v="3422"/>
    <x v="6"/>
  </r>
  <r>
    <x v="653"/>
    <x v="28"/>
    <x v="3"/>
    <x v="4"/>
    <n v="17"/>
    <n v="16"/>
    <n v="272"/>
    <n v="0.08"/>
    <n v="21.76"/>
    <n v="250"/>
    <x v="7"/>
  </r>
  <r>
    <x v="654"/>
    <x v="29"/>
    <x v="0"/>
    <x v="4"/>
    <n v="6"/>
    <n v="80"/>
    <n v="480"/>
    <n v="0.09"/>
    <n v="43.199999999999996"/>
    <n v="437"/>
    <x v="8"/>
  </r>
  <r>
    <x v="655"/>
    <x v="29"/>
    <x v="4"/>
    <x v="2"/>
    <n v="22"/>
    <n v="150"/>
    <n v="3300"/>
    <n v="0.04"/>
    <n v="132"/>
    <n v="3168"/>
    <x v="9"/>
  </r>
  <r>
    <x v="656"/>
    <x v="29"/>
    <x v="1"/>
    <x v="4"/>
    <n v="20"/>
    <n v="40"/>
    <n v="800"/>
    <n v="0.03"/>
    <n v="24"/>
    <n v="776"/>
    <x v="6"/>
  </r>
  <r>
    <x v="657"/>
    <x v="29"/>
    <x v="4"/>
    <x v="1"/>
    <n v="16"/>
    <n v="150"/>
    <n v="2400"/>
    <n v="0.08"/>
    <n v="192"/>
    <n v="2208"/>
    <x v="7"/>
  </r>
  <r>
    <x v="658"/>
    <x v="29"/>
    <x v="0"/>
    <x v="1"/>
    <n v="5"/>
    <n v="80"/>
    <n v="400"/>
    <n v="7.0000000000000007E-2"/>
    <n v="28.000000000000004"/>
    <n v="372"/>
    <x v="8"/>
  </r>
  <r>
    <x v="659"/>
    <x v="29"/>
    <x v="4"/>
    <x v="3"/>
    <n v="6"/>
    <n v="150"/>
    <n v="900"/>
    <n v="0.03"/>
    <n v="27"/>
    <n v="873"/>
    <x v="9"/>
  </r>
  <r>
    <x v="660"/>
    <x v="30"/>
    <x v="0"/>
    <x v="1"/>
    <n v="9"/>
    <n v="80"/>
    <n v="720"/>
    <n v="0.03"/>
    <n v="21.599999999999998"/>
    <n v="698"/>
    <x v="6"/>
  </r>
  <r>
    <x v="661"/>
    <x v="30"/>
    <x v="0"/>
    <x v="0"/>
    <n v="8"/>
    <n v="80"/>
    <n v="640"/>
    <n v="0.08"/>
    <n v="51.2"/>
    <n v="589"/>
    <x v="7"/>
  </r>
  <r>
    <x v="662"/>
    <x v="30"/>
    <x v="2"/>
    <x v="3"/>
    <n v="8"/>
    <n v="230"/>
    <n v="1840"/>
    <n v="0.01"/>
    <n v="18.400000000000002"/>
    <n v="1822"/>
    <x v="8"/>
  </r>
  <r>
    <x v="663"/>
    <x v="30"/>
    <x v="3"/>
    <x v="4"/>
    <n v="12"/>
    <n v="16"/>
    <n v="192"/>
    <n v="0.04"/>
    <n v="7.68"/>
    <n v="184"/>
    <x v="9"/>
  </r>
  <r>
    <x v="664"/>
    <x v="30"/>
    <x v="3"/>
    <x v="3"/>
    <n v="18"/>
    <n v="16"/>
    <n v="288"/>
    <n v="0.04"/>
    <n v="11.52"/>
    <n v="276"/>
    <x v="6"/>
  </r>
  <r>
    <x v="665"/>
    <x v="0"/>
    <x v="3"/>
    <x v="3"/>
    <n v="10"/>
    <n v="16"/>
    <n v="160"/>
    <n v="0.01"/>
    <n v="1.6"/>
    <n v="158"/>
    <x v="7"/>
  </r>
  <r>
    <x v="666"/>
    <x v="0"/>
    <x v="3"/>
    <x v="3"/>
    <n v="14"/>
    <n v="16"/>
    <n v="224"/>
    <n v="0.12"/>
    <n v="26.88"/>
    <n v="197"/>
    <x v="8"/>
  </r>
  <r>
    <x v="667"/>
    <x v="0"/>
    <x v="1"/>
    <x v="2"/>
    <n v="6"/>
    <n v="40"/>
    <n v="240"/>
    <n v="0.06"/>
    <n v="14.399999999999999"/>
    <n v="226"/>
    <x v="9"/>
  </r>
  <r>
    <x v="668"/>
    <x v="0"/>
    <x v="1"/>
    <x v="3"/>
    <n v="13"/>
    <n v="40"/>
    <n v="520"/>
    <n v="0.09"/>
    <n v="46.8"/>
    <n v="473"/>
    <x v="6"/>
  </r>
  <r>
    <x v="669"/>
    <x v="0"/>
    <x v="3"/>
    <x v="3"/>
    <n v="10"/>
    <n v="16"/>
    <n v="160"/>
    <n v="0.04"/>
    <n v="6.4"/>
    <n v="154"/>
    <x v="7"/>
  </r>
  <r>
    <x v="670"/>
    <x v="0"/>
    <x v="0"/>
    <x v="1"/>
    <n v="14"/>
    <n v="80"/>
    <n v="1120"/>
    <n v="0.11"/>
    <n v="123.2"/>
    <n v="997"/>
    <x v="8"/>
  </r>
  <r>
    <x v="671"/>
    <x v="0"/>
    <x v="1"/>
    <x v="1"/>
    <n v="4"/>
    <n v="40"/>
    <n v="160"/>
    <n v="0.06"/>
    <n v="9.6"/>
    <n v="150"/>
    <x v="9"/>
  </r>
  <r>
    <x v="672"/>
    <x v="0"/>
    <x v="1"/>
    <x v="2"/>
    <n v="11"/>
    <n v="40"/>
    <n v="440"/>
    <n v="0.05"/>
    <n v="22"/>
    <n v="418"/>
    <x v="6"/>
  </r>
  <r>
    <x v="673"/>
    <x v="0"/>
    <x v="3"/>
    <x v="2"/>
    <n v="14"/>
    <n v="16"/>
    <n v="224"/>
    <n v="0.01"/>
    <n v="2.2400000000000002"/>
    <n v="222"/>
    <x v="7"/>
  </r>
  <r>
    <x v="674"/>
    <x v="0"/>
    <x v="4"/>
    <x v="0"/>
    <n v="20"/>
    <n v="150"/>
    <n v="3000"/>
    <n v="0.04"/>
    <n v="120"/>
    <n v="2880"/>
    <x v="8"/>
  </r>
  <r>
    <x v="675"/>
    <x v="0"/>
    <x v="1"/>
    <x v="3"/>
    <n v="9"/>
    <n v="40"/>
    <n v="360"/>
    <n v="0.06"/>
    <n v="21.599999999999998"/>
    <n v="338"/>
    <x v="9"/>
  </r>
  <r>
    <x v="676"/>
    <x v="0"/>
    <x v="4"/>
    <x v="2"/>
    <n v="18"/>
    <n v="150"/>
    <n v="2700"/>
    <n v="0.06"/>
    <n v="162"/>
    <n v="2538"/>
    <x v="6"/>
  </r>
  <r>
    <x v="677"/>
    <x v="0"/>
    <x v="2"/>
    <x v="4"/>
    <n v="17"/>
    <n v="230"/>
    <n v="3910"/>
    <n v="0.11"/>
    <n v="430.1"/>
    <n v="3480"/>
    <x v="7"/>
  </r>
  <r>
    <x v="678"/>
    <x v="1"/>
    <x v="1"/>
    <x v="0"/>
    <n v="20"/>
    <n v="40"/>
    <n v="800"/>
    <n v="0.04"/>
    <n v="32"/>
    <n v="768"/>
    <x v="8"/>
  </r>
  <r>
    <x v="679"/>
    <x v="1"/>
    <x v="1"/>
    <x v="0"/>
    <n v="23"/>
    <n v="40"/>
    <n v="920"/>
    <n v="0.03"/>
    <n v="27.599999999999998"/>
    <n v="892"/>
    <x v="9"/>
  </r>
  <r>
    <x v="680"/>
    <x v="1"/>
    <x v="2"/>
    <x v="4"/>
    <n v="21"/>
    <n v="230"/>
    <n v="4830"/>
    <n v="0.05"/>
    <n v="241.5"/>
    <n v="4588"/>
    <x v="6"/>
  </r>
  <r>
    <x v="681"/>
    <x v="1"/>
    <x v="0"/>
    <x v="2"/>
    <n v="6"/>
    <n v="80"/>
    <n v="480"/>
    <n v="0.09"/>
    <n v="43.199999999999996"/>
    <n v="437"/>
    <x v="7"/>
  </r>
  <r>
    <x v="682"/>
    <x v="1"/>
    <x v="3"/>
    <x v="0"/>
    <n v="20"/>
    <n v="16"/>
    <n v="320"/>
    <n v="0.01"/>
    <n v="3.2"/>
    <n v="317"/>
    <x v="8"/>
  </r>
  <r>
    <x v="683"/>
    <x v="1"/>
    <x v="1"/>
    <x v="1"/>
    <n v="8"/>
    <n v="40"/>
    <n v="320"/>
    <n v="0.09"/>
    <n v="28.799999999999997"/>
    <n v="291"/>
    <x v="9"/>
  </r>
  <r>
    <x v="684"/>
    <x v="1"/>
    <x v="2"/>
    <x v="1"/>
    <n v="15"/>
    <n v="230"/>
    <n v="3450"/>
    <n v="0.09"/>
    <n v="310.5"/>
    <n v="3140"/>
    <x v="6"/>
  </r>
  <r>
    <x v="685"/>
    <x v="2"/>
    <x v="0"/>
    <x v="3"/>
    <n v="21"/>
    <n v="80"/>
    <n v="1680"/>
    <n v="0.02"/>
    <n v="33.6"/>
    <n v="1646"/>
    <x v="7"/>
  </r>
  <r>
    <x v="686"/>
    <x v="2"/>
    <x v="0"/>
    <x v="3"/>
    <n v="19"/>
    <n v="80"/>
    <n v="1520"/>
    <n v="0.02"/>
    <n v="30.400000000000002"/>
    <n v="1490"/>
    <x v="8"/>
  </r>
  <r>
    <x v="687"/>
    <x v="2"/>
    <x v="3"/>
    <x v="0"/>
    <n v="7"/>
    <n v="16"/>
    <n v="112"/>
    <n v="0.08"/>
    <n v="8.9600000000000009"/>
    <n v="103"/>
    <x v="9"/>
  </r>
  <r>
    <x v="688"/>
    <x v="2"/>
    <x v="1"/>
    <x v="4"/>
    <n v="11"/>
    <n v="40"/>
    <n v="440"/>
    <n v="0.05"/>
    <n v="22"/>
    <n v="418"/>
    <x v="6"/>
  </r>
  <r>
    <x v="689"/>
    <x v="2"/>
    <x v="2"/>
    <x v="3"/>
    <n v="8"/>
    <n v="230"/>
    <n v="1840"/>
    <n v="0.05"/>
    <n v="92"/>
    <n v="1748"/>
    <x v="7"/>
  </r>
  <r>
    <x v="690"/>
    <x v="2"/>
    <x v="0"/>
    <x v="0"/>
    <n v="18"/>
    <n v="80"/>
    <n v="1440"/>
    <n v="0.02"/>
    <n v="28.8"/>
    <n v="1411"/>
    <x v="8"/>
  </r>
  <r>
    <x v="691"/>
    <x v="2"/>
    <x v="1"/>
    <x v="0"/>
    <n v="7"/>
    <n v="40"/>
    <n v="280"/>
    <n v="0.1"/>
    <n v="28"/>
    <n v="252"/>
    <x v="9"/>
  </r>
  <r>
    <x v="692"/>
    <x v="3"/>
    <x v="3"/>
    <x v="0"/>
    <n v="16"/>
    <n v="16"/>
    <n v="256"/>
    <n v="0.03"/>
    <n v="7.68"/>
    <n v="248"/>
    <x v="6"/>
  </r>
  <r>
    <x v="693"/>
    <x v="3"/>
    <x v="0"/>
    <x v="0"/>
    <n v="8"/>
    <n v="80"/>
    <n v="640"/>
    <n v="0.08"/>
    <n v="51.2"/>
    <n v="589"/>
    <x v="7"/>
  </r>
  <r>
    <x v="694"/>
    <x v="3"/>
    <x v="2"/>
    <x v="4"/>
    <n v="22"/>
    <n v="230"/>
    <n v="5060"/>
    <n v="0.1"/>
    <n v="506"/>
    <n v="4554"/>
    <x v="8"/>
  </r>
  <r>
    <x v="695"/>
    <x v="3"/>
    <x v="2"/>
    <x v="4"/>
    <n v="3"/>
    <n v="230"/>
    <n v="690"/>
    <n v="0.1"/>
    <n v="69"/>
    <n v="621"/>
    <x v="9"/>
  </r>
  <r>
    <x v="696"/>
    <x v="3"/>
    <x v="2"/>
    <x v="4"/>
    <n v="20"/>
    <n v="230"/>
    <n v="4600"/>
    <n v="0.11"/>
    <n v="506"/>
    <n v="4094"/>
    <x v="6"/>
  </r>
  <r>
    <x v="697"/>
    <x v="3"/>
    <x v="3"/>
    <x v="2"/>
    <n v="12"/>
    <n v="16"/>
    <n v="192"/>
    <n v="0.03"/>
    <n v="5.76"/>
    <n v="186"/>
    <x v="7"/>
  </r>
  <r>
    <x v="698"/>
    <x v="3"/>
    <x v="1"/>
    <x v="4"/>
    <n v="20"/>
    <n v="40"/>
    <n v="800"/>
    <n v="7.0000000000000007E-2"/>
    <n v="56.000000000000007"/>
    <n v="744"/>
    <x v="8"/>
  </r>
  <r>
    <x v="699"/>
    <x v="3"/>
    <x v="2"/>
    <x v="0"/>
    <n v="3"/>
    <n v="230"/>
    <n v="690"/>
    <n v="0.06"/>
    <n v="41.4"/>
    <n v="649"/>
    <x v="9"/>
  </r>
  <r>
    <x v="700"/>
    <x v="3"/>
    <x v="0"/>
    <x v="3"/>
    <n v="16"/>
    <n v="80"/>
    <n v="1280"/>
    <n v="7.0000000000000007E-2"/>
    <n v="89.600000000000009"/>
    <n v="1190"/>
    <x v="6"/>
  </r>
  <r>
    <x v="701"/>
    <x v="4"/>
    <x v="1"/>
    <x v="4"/>
    <n v="3"/>
    <n v="40"/>
    <n v="120"/>
    <n v="0.03"/>
    <n v="3.5999999999999996"/>
    <n v="116"/>
    <x v="7"/>
  </r>
  <r>
    <x v="702"/>
    <x v="4"/>
    <x v="2"/>
    <x v="2"/>
    <n v="12"/>
    <n v="230"/>
    <n v="2760"/>
    <n v="0.03"/>
    <n v="82.8"/>
    <n v="2677"/>
    <x v="8"/>
  </r>
  <r>
    <x v="703"/>
    <x v="4"/>
    <x v="1"/>
    <x v="3"/>
    <n v="22"/>
    <n v="40"/>
    <n v="880"/>
    <n v="0.01"/>
    <n v="8.8000000000000007"/>
    <n v="871"/>
    <x v="9"/>
  </r>
  <r>
    <x v="704"/>
    <x v="4"/>
    <x v="1"/>
    <x v="1"/>
    <n v="19"/>
    <n v="40"/>
    <n v="760"/>
    <n v="0.1"/>
    <n v="76"/>
    <n v="684"/>
    <x v="6"/>
  </r>
  <r>
    <x v="705"/>
    <x v="4"/>
    <x v="0"/>
    <x v="1"/>
    <n v="21"/>
    <n v="80"/>
    <n v="1680"/>
    <n v="0.04"/>
    <n v="67.2"/>
    <n v="1613"/>
    <x v="7"/>
  </r>
  <r>
    <x v="706"/>
    <x v="4"/>
    <x v="0"/>
    <x v="1"/>
    <n v="2"/>
    <n v="80"/>
    <n v="160"/>
    <n v="0.04"/>
    <n v="6.4"/>
    <n v="154"/>
    <x v="8"/>
  </r>
  <r>
    <x v="707"/>
    <x v="4"/>
    <x v="4"/>
    <x v="1"/>
    <n v="15"/>
    <n v="150"/>
    <n v="2250"/>
    <n v="0.02"/>
    <n v="45"/>
    <n v="2205"/>
    <x v="9"/>
  </r>
  <r>
    <x v="708"/>
    <x v="5"/>
    <x v="1"/>
    <x v="1"/>
    <n v="14"/>
    <n v="40"/>
    <n v="560"/>
    <n v="0.06"/>
    <n v="33.6"/>
    <n v="526"/>
    <x v="6"/>
  </r>
  <r>
    <x v="709"/>
    <x v="5"/>
    <x v="0"/>
    <x v="3"/>
    <n v="7"/>
    <n v="80"/>
    <n v="560"/>
    <n v="7.0000000000000007E-2"/>
    <n v="39.200000000000003"/>
    <n v="521"/>
    <x v="7"/>
  </r>
  <r>
    <x v="710"/>
    <x v="5"/>
    <x v="0"/>
    <x v="2"/>
    <n v="7"/>
    <n v="80"/>
    <n v="560"/>
    <n v="0.05"/>
    <n v="28"/>
    <n v="532"/>
    <x v="8"/>
  </r>
  <r>
    <x v="711"/>
    <x v="5"/>
    <x v="4"/>
    <x v="1"/>
    <n v="10"/>
    <n v="150"/>
    <n v="1500"/>
    <n v="0.01"/>
    <n v="15"/>
    <n v="1485"/>
    <x v="9"/>
  </r>
  <r>
    <x v="712"/>
    <x v="5"/>
    <x v="0"/>
    <x v="2"/>
    <n v="10"/>
    <n v="80"/>
    <n v="800"/>
    <n v="0.08"/>
    <n v="64"/>
    <n v="736"/>
    <x v="6"/>
  </r>
  <r>
    <x v="713"/>
    <x v="5"/>
    <x v="0"/>
    <x v="3"/>
    <n v="15"/>
    <n v="80"/>
    <n v="1200"/>
    <n v="0.08"/>
    <n v="96"/>
    <n v="1104"/>
    <x v="7"/>
  </r>
  <r>
    <x v="714"/>
    <x v="5"/>
    <x v="2"/>
    <x v="3"/>
    <n v="18"/>
    <n v="230"/>
    <n v="4140"/>
    <n v="0.01"/>
    <n v="41.4"/>
    <n v="4099"/>
    <x v="8"/>
  </r>
  <r>
    <x v="715"/>
    <x v="5"/>
    <x v="0"/>
    <x v="0"/>
    <n v="8"/>
    <n v="80"/>
    <n v="640"/>
    <n v="0.09"/>
    <n v="57.599999999999994"/>
    <n v="582"/>
    <x v="9"/>
  </r>
  <r>
    <x v="716"/>
    <x v="5"/>
    <x v="3"/>
    <x v="2"/>
    <n v="6"/>
    <n v="16"/>
    <n v="96"/>
    <n v="0.01"/>
    <n v="0.96"/>
    <n v="95"/>
    <x v="6"/>
  </r>
  <r>
    <x v="717"/>
    <x v="5"/>
    <x v="2"/>
    <x v="1"/>
    <n v="9"/>
    <n v="230"/>
    <n v="2070"/>
    <n v="0.03"/>
    <n v="62.099999999999994"/>
    <n v="2008"/>
    <x v="7"/>
  </r>
  <r>
    <x v="718"/>
    <x v="6"/>
    <x v="1"/>
    <x v="3"/>
    <n v="15"/>
    <n v="40"/>
    <n v="600"/>
    <n v="0.03"/>
    <n v="18"/>
    <n v="582"/>
    <x v="8"/>
  </r>
  <r>
    <x v="719"/>
    <x v="6"/>
    <x v="1"/>
    <x v="1"/>
    <n v="15"/>
    <n v="40"/>
    <n v="600"/>
    <n v="0.04"/>
    <n v="24"/>
    <n v="576"/>
    <x v="9"/>
  </r>
  <r>
    <x v="720"/>
    <x v="6"/>
    <x v="3"/>
    <x v="4"/>
    <n v="11"/>
    <n v="16"/>
    <n v="176"/>
    <n v="0.12"/>
    <n v="21.119999999999997"/>
    <n v="155"/>
    <x v="6"/>
  </r>
  <r>
    <x v="721"/>
    <x v="6"/>
    <x v="3"/>
    <x v="0"/>
    <n v="12"/>
    <n v="16"/>
    <n v="192"/>
    <n v="0.11"/>
    <n v="21.12"/>
    <n v="171"/>
    <x v="2"/>
  </r>
  <r>
    <x v="722"/>
    <x v="6"/>
    <x v="3"/>
    <x v="3"/>
    <n v="18"/>
    <n v="16"/>
    <n v="288"/>
    <n v="0.04"/>
    <n v="11.52"/>
    <n v="276"/>
    <x v="8"/>
  </r>
  <r>
    <x v="723"/>
    <x v="6"/>
    <x v="1"/>
    <x v="2"/>
    <n v="20"/>
    <n v="40"/>
    <n v="800"/>
    <n v="0.01"/>
    <n v="8"/>
    <n v="792"/>
    <x v="2"/>
  </r>
  <r>
    <x v="724"/>
    <x v="6"/>
    <x v="4"/>
    <x v="4"/>
    <n v="7"/>
    <n v="150"/>
    <n v="1050"/>
    <n v="0.03"/>
    <n v="31.5"/>
    <n v="1018"/>
    <x v="8"/>
  </r>
  <r>
    <x v="725"/>
    <x v="6"/>
    <x v="1"/>
    <x v="3"/>
    <n v="23"/>
    <n v="40"/>
    <n v="920"/>
    <n v="0.06"/>
    <n v="55.199999999999996"/>
    <n v="865"/>
    <x v="2"/>
  </r>
  <r>
    <x v="726"/>
    <x v="6"/>
    <x v="0"/>
    <x v="0"/>
    <n v="7"/>
    <n v="80"/>
    <n v="560"/>
    <n v="0.02"/>
    <n v="11.200000000000001"/>
    <n v="549"/>
    <x v="8"/>
  </r>
  <r>
    <x v="727"/>
    <x v="6"/>
    <x v="4"/>
    <x v="1"/>
    <n v="16"/>
    <n v="150"/>
    <n v="2400"/>
    <n v="0.05"/>
    <n v="120"/>
    <n v="2280"/>
    <x v="2"/>
  </r>
  <r>
    <x v="728"/>
    <x v="6"/>
    <x v="2"/>
    <x v="1"/>
    <n v="6"/>
    <n v="230"/>
    <n v="1380"/>
    <n v="0.1"/>
    <n v="138"/>
    <n v="1242"/>
    <x v="8"/>
  </r>
  <r>
    <x v="729"/>
    <x v="7"/>
    <x v="1"/>
    <x v="4"/>
    <n v="7"/>
    <n v="40"/>
    <n v="280"/>
    <n v="0.12"/>
    <n v="33.6"/>
    <n v="246"/>
    <x v="2"/>
  </r>
  <r>
    <x v="730"/>
    <x v="7"/>
    <x v="0"/>
    <x v="2"/>
    <n v="23"/>
    <n v="80"/>
    <n v="1840"/>
    <n v="0.05"/>
    <n v="92"/>
    <n v="1748"/>
    <x v="8"/>
  </r>
  <r>
    <x v="731"/>
    <x v="7"/>
    <x v="0"/>
    <x v="3"/>
    <n v="16"/>
    <n v="80"/>
    <n v="1280"/>
    <n v="0.1"/>
    <n v="128"/>
    <n v="1152"/>
    <x v="2"/>
  </r>
  <r>
    <x v="732"/>
    <x v="7"/>
    <x v="0"/>
    <x v="0"/>
    <n v="16"/>
    <n v="80"/>
    <n v="1280"/>
    <n v="0.03"/>
    <n v="38.4"/>
    <n v="1242"/>
    <x v="8"/>
  </r>
  <r>
    <x v="733"/>
    <x v="7"/>
    <x v="0"/>
    <x v="4"/>
    <n v="22"/>
    <n v="80"/>
    <n v="1760"/>
    <n v="0.09"/>
    <n v="158.4"/>
    <n v="1602"/>
    <x v="2"/>
  </r>
  <r>
    <x v="734"/>
    <x v="7"/>
    <x v="3"/>
    <x v="0"/>
    <n v="18"/>
    <n v="16"/>
    <n v="288"/>
    <n v="0.05"/>
    <n v="14.4"/>
    <n v="274"/>
    <x v="8"/>
  </r>
  <r>
    <x v="735"/>
    <x v="7"/>
    <x v="2"/>
    <x v="4"/>
    <n v="5"/>
    <n v="230"/>
    <n v="1150"/>
    <n v="0.12"/>
    <n v="138"/>
    <n v="1012"/>
    <x v="2"/>
  </r>
  <r>
    <x v="736"/>
    <x v="7"/>
    <x v="4"/>
    <x v="4"/>
    <n v="7"/>
    <n v="150"/>
    <n v="1050"/>
    <n v="0.02"/>
    <n v="21"/>
    <n v="1029"/>
    <x v="8"/>
  </r>
  <r>
    <x v="737"/>
    <x v="7"/>
    <x v="1"/>
    <x v="2"/>
    <n v="2"/>
    <n v="40"/>
    <n v="80"/>
    <n v="0.03"/>
    <n v="2.4"/>
    <n v="78"/>
    <x v="2"/>
  </r>
  <r>
    <x v="738"/>
    <x v="7"/>
    <x v="1"/>
    <x v="3"/>
    <n v="11"/>
    <n v="40"/>
    <n v="440"/>
    <n v="0.06"/>
    <n v="26.4"/>
    <n v="414"/>
    <x v="8"/>
  </r>
  <r>
    <x v="739"/>
    <x v="7"/>
    <x v="0"/>
    <x v="3"/>
    <n v="7"/>
    <n v="80"/>
    <n v="560"/>
    <n v="0.02"/>
    <n v="11.200000000000001"/>
    <n v="549"/>
    <x v="2"/>
  </r>
  <r>
    <x v="740"/>
    <x v="8"/>
    <x v="1"/>
    <x v="2"/>
    <n v="4"/>
    <n v="40"/>
    <n v="160"/>
    <n v="0.11"/>
    <n v="17.600000000000001"/>
    <n v="142"/>
    <x v="8"/>
  </r>
  <r>
    <x v="741"/>
    <x v="8"/>
    <x v="1"/>
    <x v="2"/>
    <n v="2"/>
    <n v="40"/>
    <n v="80"/>
    <n v="0.02"/>
    <n v="1.6"/>
    <n v="78"/>
    <x v="2"/>
  </r>
  <r>
    <x v="742"/>
    <x v="8"/>
    <x v="2"/>
    <x v="3"/>
    <n v="23"/>
    <n v="230"/>
    <n v="5290"/>
    <n v="0.06"/>
    <n v="317.39999999999998"/>
    <n v="4973"/>
    <x v="8"/>
  </r>
  <r>
    <x v="743"/>
    <x v="8"/>
    <x v="0"/>
    <x v="4"/>
    <n v="21"/>
    <n v="80"/>
    <n v="1680"/>
    <n v="0.09"/>
    <n v="151.19999999999999"/>
    <n v="1529"/>
    <x v="2"/>
  </r>
  <r>
    <x v="744"/>
    <x v="8"/>
    <x v="0"/>
    <x v="4"/>
    <n v="9"/>
    <n v="80"/>
    <n v="720"/>
    <n v="0.06"/>
    <n v="43.199999999999996"/>
    <n v="677"/>
    <x v="8"/>
  </r>
  <r>
    <x v="745"/>
    <x v="8"/>
    <x v="0"/>
    <x v="4"/>
    <n v="22"/>
    <n v="80"/>
    <n v="1760"/>
    <n v="0.11"/>
    <n v="193.6"/>
    <n v="1566"/>
    <x v="2"/>
  </r>
  <r>
    <x v="746"/>
    <x v="9"/>
    <x v="2"/>
    <x v="2"/>
    <n v="15"/>
    <n v="230"/>
    <n v="3450"/>
    <n v="0.11"/>
    <n v="379.5"/>
    <n v="3070"/>
    <x v="8"/>
  </r>
  <r>
    <x v="747"/>
    <x v="9"/>
    <x v="1"/>
    <x v="1"/>
    <n v="7"/>
    <n v="40"/>
    <n v="280"/>
    <n v="0.01"/>
    <n v="2.8000000000000003"/>
    <n v="277"/>
    <x v="2"/>
  </r>
  <r>
    <x v="748"/>
    <x v="9"/>
    <x v="4"/>
    <x v="4"/>
    <n v="17"/>
    <n v="150"/>
    <n v="2550"/>
    <n v="0.02"/>
    <n v="51"/>
    <n v="2499"/>
    <x v="8"/>
  </r>
  <r>
    <x v="749"/>
    <x v="9"/>
    <x v="4"/>
    <x v="1"/>
    <n v="22"/>
    <n v="150"/>
    <n v="3300"/>
    <n v="0.02"/>
    <n v="66"/>
    <n v="3234"/>
    <x v="2"/>
  </r>
  <r>
    <x v="750"/>
    <x v="9"/>
    <x v="2"/>
    <x v="2"/>
    <n v="10"/>
    <n v="230"/>
    <n v="2300"/>
    <n v="0.02"/>
    <n v="46"/>
    <n v="2254"/>
    <x v="8"/>
  </r>
  <r>
    <x v="751"/>
    <x v="9"/>
    <x v="1"/>
    <x v="4"/>
    <n v="21"/>
    <n v="40"/>
    <n v="840"/>
    <n v="0.01"/>
    <n v="8.4"/>
    <n v="832"/>
    <x v="2"/>
  </r>
  <r>
    <x v="752"/>
    <x v="9"/>
    <x v="2"/>
    <x v="2"/>
    <n v="5"/>
    <n v="230"/>
    <n v="1150"/>
    <n v="0.1"/>
    <n v="115"/>
    <n v="1035"/>
    <x v="8"/>
  </r>
  <r>
    <x v="753"/>
    <x v="9"/>
    <x v="2"/>
    <x v="4"/>
    <n v="13"/>
    <n v="230"/>
    <n v="2990"/>
    <n v="0.06"/>
    <n v="179.4"/>
    <n v="2811"/>
    <x v="2"/>
  </r>
  <r>
    <x v="754"/>
    <x v="9"/>
    <x v="4"/>
    <x v="0"/>
    <n v="23"/>
    <n v="150"/>
    <n v="3450"/>
    <n v="0.1"/>
    <n v="345"/>
    <n v="3105"/>
    <x v="8"/>
  </r>
  <r>
    <x v="755"/>
    <x v="9"/>
    <x v="4"/>
    <x v="0"/>
    <n v="20"/>
    <n v="150"/>
    <n v="3000"/>
    <n v="0.03"/>
    <n v="90"/>
    <n v="2910"/>
    <x v="2"/>
  </r>
  <r>
    <x v="756"/>
    <x v="10"/>
    <x v="2"/>
    <x v="0"/>
    <n v="3"/>
    <n v="230"/>
    <n v="690"/>
    <n v="0.11"/>
    <n v="75.900000000000006"/>
    <n v="614"/>
    <x v="8"/>
  </r>
  <r>
    <x v="757"/>
    <x v="10"/>
    <x v="4"/>
    <x v="1"/>
    <n v="16"/>
    <n v="150"/>
    <n v="2400"/>
    <n v="0.08"/>
    <n v="192"/>
    <n v="2208"/>
    <x v="2"/>
  </r>
  <r>
    <x v="758"/>
    <x v="10"/>
    <x v="3"/>
    <x v="4"/>
    <n v="14"/>
    <n v="16"/>
    <n v="224"/>
    <n v="0.06"/>
    <n v="13.44"/>
    <n v="211"/>
    <x v="8"/>
  </r>
  <r>
    <x v="759"/>
    <x v="10"/>
    <x v="4"/>
    <x v="1"/>
    <n v="16"/>
    <n v="150"/>
    <n v="2400"/>
    <n v="0.03"/>
    <n v="72"/>
    <n v="2328"/>
    <x v="2"/>
  </r>
  <r>
    <x v="760"/>
    <x v="10"/>
    <x v="3"/>
    <x v="4"/>
    <n v="19"/>
    <n v="16"/>
    <n v="304"/>
    <n v="0.02"/>
    <n v="6.08"/>
    <n v="298"/>
    <x v="8"/>
  </r>
  <r>
    <x v="761"/>
    <x v="10"/>
    <x v="0"/>
    <x v="4"/>
    <n v="6"/>
    <n v="80"/>
    <n v="480"/>
    <n v="0.09"/>
    <n v="43.199999999999996"/>
    <n v="437"/>
    <x v="2"/>
  </r>
  <r>
    <x v="762"/>
    <x v="10"/>
    <x v="0"/>
    <x v="4"/>
    <n v="9"/>
    <n v="80"/>
    <n v="720"/>
    <n v="7.0000000000000007E-2"/>
    <n v="50.400000000000006"/>
    <n v="670"/>
    <x v="8"/>
  </r>
  <r>
    <x v="763"/>
    <x v="10"/>
    <x v="4"/>
    <x v="1"/>
    <n v="20"/>
    <n v="150"/>
    <n v="3000"/>
    <n v="0.09"/>
    <n v="270"/>
    <n v="2730"/>
    <x v="2"/>
  </r>
  <r>
    <x v="764"/>
    <x v="10"/>
    <x v="0"/>
    <x v="2"/>
    <n v="10"/>
    <n v="80"/>
    <n v="800"/>
    <n v="0.11"/>
    <n v="88"/>
    <n v="712"/>
    <x v="8"/>
  </r>
  <r>
    <x v="765"/>
    <x v="10"/>
    <x v="3"/>
    <x v="0"/>
    <n v="4"/>
    <n v="16"/>
    <n v="64"/>
    <n v="0.12"/>
    <n v="7.68"/>
    <n v="56"/>
    <x v="2"/>
  </r>
  <r>
    <x v="766"/>
    <x v="10"/>
    <x v="1"/>
    <x v="4"/>
    <n v="16"/>
    <n v="40"/>
    <n v="640"/>
    <n v="0.11"/>
    <n v="70.400000000000006"/>
    <n v="570"/>
    <x v="8"/>
  </r>
  <r>
    <x v="767"/>
    <x v="11"/>
    <x v="0"/>
    <x v="1"/>
    <n v="5"/>
    <n v="80"/>
    <n v="400"/>
    <n v="0.04"/>
    <n v="16"/>
    <n v="384"/>
    <x v="2"/>
  </r>
  <r>
    <x v="768"/>
    <x v="11"/>
    <x v="3"/>
    <x v="2"/>
    <n v="11"/>
    <n v="16"/>
    <n v="176"/>
    <n v="0.04"/>
    <n v="7.04"/>
    <n v="169"/>
    <x v="8"/>
  </r>
  <r>
    <x v="769"/>
    <x v="11"/>
    <x v="4"/>
    <x v="0"/>
    <n v="17"/>
    <n v="150"/>
    <n v="2550"/>
    <n v="0.12"/>
    <n v="306"/>
    <n v="2244"/>
    <x v="2"/>
  </r>
  <r>
    <x v="770"/>
    <x v="11"/>
    <x v="2"/>
    <x v="1"/>
    <n v="19"/>
    <n v="230"/>
    <n v="4370"/>
    <n v="0.11"/>
    <n v="480.7"/>
    <n v="3889"/>
    <x v="8"/>
  </r>
  <r>
    <x v="771"/>
    <x v="11"/>
    <x v="0"/>
    <x v="0"/>
    <n v="21"/>
    <n v="80"/>
    <n v="1680"/>
    <n v="0.04"/>
    <n v="67.2"/>
    <n v="1613"/>
    <x v="2"/>
  </r>
  <r>
    <x v="772"/>
    <x v="11"/>
    <x v="2"/>
    <x v="1"/>
    <n v="7"/>
    <n v="230"/>
    <n v="1610"/>
    <n v="0.01"/>
    <n v="16.100000000000001"/>
    <n v="1594"/>
    <x v="8"/>
  </r>
  <r>
    <x v="773"/>
    <x v="11"/>
    <x v="1"/>
    <x v="2"/>
    <n v="2"/>
    <n v="40"/>
    <n v="80"/>
    <n v="0.03"/>
    <n v="2.4"/>
    <n v="78"/>
    <x v="2"/>
  </r>
  <r>
    <x v="774"/>
    <x v="11"/>
    <x v="4"/>
    <x v="0"/>
    <n v="7"/>
    <n v="150"/>
    <n v="1050"/>
    <n v="0.02"/>
    <n v="21"/>
    <n v="1029"/>
    <x v="8"/>
  </r>
  <r>
    <x v="775"/>
    <x v="12"/>
    <x v="0"/>
    <x v="2"/>
    <n v="16"/>
    <n v="80"/>
    <n v="1280"/>
    <n v="0.04"/>
    <n v="51.2"/>
    <n v="1229"/>
    <x v="2"/>
  </r>
  <r>
    <x v="776"/>
    <x v="12"/>
    <x v="1"/>
    <x v="1"/>
    <n v="4"/>
    <n v="40"/>
    <n v="160"/>
    <n v="0.12"/>
    <n v="19.2"/>
    <n v="141"/>
    <x v="8"/>
  </r>
  <r>
    <x v="777"/>
    <x v="12"/>
    <x v="3"/>
    <x v="0"/>
    <n v="22"/>
    <n v="16"/>
    <n v="352"/>
    <n v="0.01"/>
    <n v="3.52"/>
    <n v="348"/>
    <x v="2"/>
  </r>
  <r>
    <x v="778"/>
    <x v="12"/>
    <x v="1"/>
    <x v="3"/>
    <n v="18"/>
    <n v="40"/>
    <n v="720"/>
    <n v="0.06"/>
    <n v="43.199999999999996"/>
    <n v="677"/>
    <x v="8"/>
  </r>
  <r>
    <x v="779"/>
    <x v="12"/>
    <x v="0"/>
    <x v="2"/>
    <n v="6"/>
    <n v="80"/>
    <n v="480"/>
    <n v="0.01"/>
    <n v="4.8"/>
    <n v="475"/>
    <x v="2"/>
  </r>
  <r>
    <x v="780"/>
    <x v="12"/>
    <x v="2"/>
    <x v="2"/>
    <n v="2"/>
    <n v="230"/>
    <n v="460"/>
    <n v="0.09"/>
    <n v="41.4"/>
    <n v="419"/>
    <x v="8"/>
  </r>
  <r>
    <x v="781"/>
    <x v="13"/>
    <x v="4"/>
    <x v="4"/>
    <n v="11"/>
    <n v="150"/>
    <n v="1650"/>
    <n v="0.09"/>
    <n v="148.5"/>
    <n v="1502"/>
    <x v="2"/>
  </r>
  <r>
    <x v="782"/>
    <x v="13"/>
    <x v="4"/>
    <x v="3"/>
    <n v="15"/>
    <n v="150"/>
    <n v="2250"/>
    <n v="0.08"/>
    <n v="180"/>
    <n v="2070"/>
    <x v="8"/>
  </r>
  <r>
    <x v="783"/>
    <x v="13"/>
    <x v="0"/>
    <x v="0"/>
    <n v="17"/>
    <n v="80"/>
    <n v="1360"/>
    <n v="0.09"/>
    <n v="122.39999999999999"/>
    <n v="1238"/>
    <x v="2"/>
  </r>
  <r>
    <x v="784"/>
    <x v="13"/>
    <x v="4"/>
    <x v="4"/>
    <n v="13"/>
    <n v="150"/>
    <n v="1950"/>
    <n v="0.11"/>
    <n v="214.5"/>
    <n v="1736"/>
    <x v="8"/>
  </r>
  <r>
    <x v="785"/>
    <x v="13"/>
    <x v="1"/>
    <x v="3"/>
    <n v="7"/>
    <n v="40"/>
    <n v="280"/>
    <n v="7.0000000000000007E-2"/>
    <n v="19.600000000000001"/>
    <n v="260"/>
    <x v="2"/>
  </r>
  <r>
    <x v="786"/>
    <x v="13"/>
    <x v="2"/>
    <x v="3"/>
    <n v="3"/>
    <n v="230"/>
    <n v="690"/>
    <n v="0.01"/>
    <n v="6.9"/>
    <n v="683"/>
    <x v="8"/>
  </r>
  <r>
    <x v="787"/>
    <x v="13"/>
    <x v="1"/>
    <x v="2"/>
    <n v="12"/>
    <n v="40"/>
    <n v="480"/>
    <n v="0.02"/>
    <n v="9.6"/>
    <n v="470"/>
    <x v="2"/>
  </r>
  <r>
    <x v="788"/>
    <x v="13"/>
    <x v="4"/>
    <x v="2"/>
    <n v="11"/>
    <n v="150"/>
    <n v="1650"/>
    <n v="0.11"/>
    <n v="181.5"/>
    <n v="1468"/>
    <x v="8"/>
  </r>
  <r>
    <x v="789"/>
    <x v="13"/>
    <x v="1"/>
    <x v="1"/>
    <n v="21"/>
    <n v="40"/>
    <n v="840"/>
    <n v="0.03"/>
    <n v="25.2"/>
    <n v="815"/>
    <x v="2"/>
  </r>
  <r>
    <x v="790"/>
    <x v="13"/>
    <x v="4"/>
    <x v="0"/>
    <n v="22"/>
    <n v="150"/>
    <n v="3300"/>
    <n v="7.0000000000000007E-2"/>
    <n v="231.00000000000003"/>
    <n v="3069"/>
    <x v="8"/>
  </r>
  <r>
    <x v="791"/>
    <x v="13"/>
    <x v="1"/>
    <x v="2"/>
    <n v="20"/>
    <n v="40"/>
    <n v="800"/>
    <n v="0.01"/>
    <n v="8"/>
    <n v="792"/>
    <x v="2"/>
  </r>
  <r>
    <x v="792"/>
    <x v="14"/>
    <x v="3"/>
    <x v="4"/>
    <n v="22"/>
    <n v="16"/>
    <n v="352"/>
    <n v="0.12"/>
    <n v="42.239999999999995"/>
    <n v="310"/>
    <x v="8"/>
  </r>
  <r>
    <x v="793"/>
    <x v="14"/>
    <x v="1"/>
    <x v="2"/>
    <n v="4"/>
    <n v="40"/>
    <n v="160"/>
    <n v="0.1"/>
    <n v="16"/>
    <n v="144"/>
    <x v="2"/>
  </r>
  <r>
    <x v="794"/>
    <x v="14"/>
    <x v="2"/>
    <x v="3"/>
    <n v="2"/>
    <n v="230"/>
    <n v="460"/>
    <n v="0.09"/>
    <n v="41.4"/>
    <n v="419"/>
    <x v="8"/>
  </r>
  <r>
    <x v="795"/>
    <x v="14"/>
    <x v="1"/>
    <x v="0"/>
    <n v="22"/>
    <n v="40"/>
    <n v="880"/>
    <n v="0.02"/>
    <n v="17.600000000000001"/>
    <n v="862"/>
    <x v="2"/>
  </r>
  <r>
    <x v="796"/>
    <x v="14"/>
    <x v="1"/>
    <x v="1"/>
    <n v="4"/>
    <n v="40"/>
    <n v="160"/>
    <n v="0.03"/>
    <n v="4.8"/>
    <n v="155"/>
    <x v="8"/>
  </r>
  <r>
    <x v="797"/>
    <x v="14"/>
    <x v="3"/>
    <x v="1"/>
    <n v="5"/>
    <n v="16"/>
    <n v="80"/>
    <n v="0.11"/>
    <n v="8.8000000000000007"/>
    <n v="71"/>
    <x v="2"/>
  </r>
  <r>
    <x v="798"/>
    <x v="14"/>
    <x v="0"/>
    <x v="3"/>
    <n v="2"/>
    <n v="80"/>
    <n v="160"/>
    <n v="0.08"/>
    <n v="12.8"/>
    <n v="147"/>
    <x v="8"/>
  </r>
  <r>
    <x v="799"/>
    <x v="14"/>
    <x v="3"/>
    <x v="2"/>
    <n v="9"/>
    <n v="16"/>
    <n v="144"/>
    <n v="0.05"/>
    <n v="7.2"/>
    <n v="137"/>
    <x v="2"/>
  </r>
  <r>
    <x v="800"/>
    <x v="14"/>
    <x v="2"/>
    <x v="2"/>
    <n v="6"/>
    <n v="230"/>
    <n v="1380"/>
    <n v="0.05"/>
    <n v="69"/>
    <n v="1311"/>
    <x v="8"/>
  </r>
  <r>
    <x v="801"/>
    <x v="14"/>
    <x v="4"/>
    <x v="3"/>
    <n v="22"/>
    <n v="150"/>
    <n v="3300"/>
    <n v="0.05"/>
    <n v="165"/>
    <n v="3135"/>
    <x v="2"/>
  </r>
  <r>
    <x v="802"/>
    <x v="15"/>
    <x v="2"/>
    <x v="3"/>
    <n v="8"/>
    <n v="230"/>
    <n v="1840"/>
    <n v="0.01"/>
    <n v="18.400000000000002"/>
    <n v="1822"/>
    <x v="8"/>
  </r>
  <r>
    <x v="803"/>
    <x v="15"/>
    <x v="4"/>
    <x v="0"/>
    <n v="22"/>
    <n v="150"/>
    <n v="3300"/>
    <n v="0.05"/>
    <n v="165"/>
    <n v="3135"/>
    <x v="2"/>
  </r>
  <r>
    <x v="804"/>
    <x v="15"/>
    <x v="1"/>
    <x v="0"/>
    <n v="5"/>
    <n v="40"/>
    <n v="200"/>
    <n v="0.06"/>
    <n v="12"/>
    <n v="188"/>
    <x v="8"/>
  </r>
  <r>
    <x v="805"/>
    <x v="15"/>
    <x v="4"/>
    <x v="3"/>
    <n v="20"/>
    <n v="150"/>
    <n v="3000"/>
    <n v="0.1"/>
    <n v="300"/>
    <n v="2700"/>
    <x v="2"/>
  </r>
  <r>
    <x v="806"/>
    <x v="15"/>
    <x v="0"/>
    <x v="3"/>
    <n v="22"/>
    <n v="80"/>
    <n v="1760"/>
    <n v="0.03"/>
    <n v="52.8"/>
    <n v="1707"/>
    <x v="8"/>
  </r>
  <r>
    <x v="807"/>
    <x v="15"/>
    <x v="3"/>
    <x v="0"/>
    <n v="11"/>
    <n v="16"/>
    <n v="176"/>
    <n v="0.09"/>
    <n v="15.84"/>
    <n v="160"/>
    <x v="2"/>
  </r>
  <r>
    <x v="808"/>
    <x v="15"/>
    <x v="3"/>
    <x v="1"/>
    <n v="22"/>
    <n v="16"/>
    <n v="352"/>
    <n v="0.01"/>
    <n v="3.52"/>
    <n v="348"/>
    <x v="8"/>
  </r>
  <r>
    <x v="809"/>
    <x v="15"/>
    <x v="1"/>
    <x v="1"/>
    <n v="23"/>
    <n v="40"/>
    <n v="920"/>
    <n v="0.06"/>
    <n v="55.199999999999996"/>
    <n v="865"/>
    <x v="2"/>
  </r>
  <r>
    <x v="810"/>
    <x v="15"/>
    <x v="0"/>
    <x v="2"/>
    <n v="14"/>
    <n v="80"/>
    <n v="1120"/>
    <n v="0.1"/>
    <n v="112"/>
    <n v="1008"/>
    <x v="8"/>
  </r>
  <r>
    <x v="811"/>
    <x v="15"/>
    <x v="1"/>
    <x v="0"/>
    <n v="18"/>
    <n v="40"/>
    <n v="720"/>
    <n v="0.06"/>
    <n v="43.199999999999996"/>
    <n v="677"/>
    <x v="2"/>
  </r>
  <r>
    <x v="812"/>
    <x v="16"/>
    <x v="4"/>
    <x v="3"/>
    <n v="7"/>
    <n v="150"/>
    <n v="1050"/>
    <n v="0.05"/>
    <n v="52.5"/>
    <n v="998"/>
    <x v="1"/>
  </r>
  <r>
    <x v="813"/>
    <x v="16"/>
    <x v="1"/>
    <x v="3"/>
    <n v="15"/>
    <n v="40"/>
    <n v="600"/>
    <n v="0.03"/>
    <n v="18"/>
    <n v="582"/>
    <x v="2"/>
  </r>
  <r>
    <x v="814"/>
    <x v="16"/>
    <x v="3"/>
    <x v="0"/>
    <n v="7"/>
    <n v="16"/>
    <n v="112"/>
    <n v="0.02"/>
    <n v="2.2400000000000002"/>
    <n v="110"/>
    <x v="3"/>
  </r>
  <r>
    <x v="815"/>
    <x v="16"/>
    <x v="3"/>
    <x v="3"/>
    <n v="15"/>
    <n v="16"/>
    <n v="240"/>
    <n v="0.12"/>
    <n v="28.799999999999997"/>
    <n v="211"/>
    <x v="4"/>
  </r>
  <r>
    <x v="816"/>
    <x v="16"/>
    <x v="1"/>
    <x v="0"/>
    <n v="5"/>
    <n v="40"/>
    <n v="200"/>
    <n v="0.09"/>
    <n v="18"/>
    <n v="182"/>
    <x v="5"/>
  </r>
  <r>
    <x v="817"/>
    <x v="16"/>
    <x v="1"/>
    <x v="4"/>
    <n v="20"/>
    <n v="40"/>
    <n v="800"/>
    <n v="0.03"/>
    <n v="24"/>
    <n v="776"/>
    <x v="6"/>
  </r>
  <r>
    <x v="818"/>
    <x v="16"/>
    <x v="2"/>
    <x v="3"/>
    <n v="11"/>
    <n v="230"/>
    <n v="2530"/>
    <n v="0.12"/>
    <n v="303.59999999999997"/>
    <n v="2226"/>
    <x v="7"/>
  </r>
  <r>
    <x v="819"/>
    <x v="16"/>
    <x v="3"/>
    <x v="4"/>
    <n v="17"/>
    <n v="16"/>
    <n v="272"/>
    <n v="0.08"/>
    <n v="21.76"/>
    <n v="250"/>
    <x v="8"/>
  </r>
  <r>
    <x v="820"/>
    <x v="17"/>
    <x v="3"/>
    <x v="0"/>
    <n v="18"/>
    <n v="16"/>
    <n v="288"/>
    <n v="0.11"/>
    <n v="31.68"/>
    <n v="256"/>
    <x v="9"/>
  </r>
  <r>
    <x v="821"/>
    <x v="17"/>
    <x v="2"/>
    <x v="3"/>
    <n v="2"/>
    <n v="230"/>
    <n v="460"/>
    <n v="0.08"/>
    <n v="36.800000000000004"/>
    <n v="423"/>
    <x v="10"/>
  </r>
  <r>
    <x v="822"/>
    <x v="17"/>
    <x v="3"/>
    <x v="2"/>
    <n v="17"/>
    <n v="16"/>
    <n v="272"/>
    <n v="0.05"/>
    <n v="13.600000000000001"/>
    <n v="258"/>
    <x v="11"/>
  </r>
  <r>
    <x v="823"/>
    <x v="17"/>
    <x v="0"/>
    <x v="3"/>
    <n v="16"/>
    <n v="80"/>
    <n v="1280"/>
    <n v="0.05"/>
    <n v="64"/>
    <n v="1216"/>
    <x v="0"/>
  </r>
  <r>
    <x v="824"/>
    <x v="17"/>
    <x v="2"/>
    <x v="1"/>
    <n v="14"/>
    <n v="230"/>
    <n v="3220"/>
    <n v="0.05"/>
    <n v="161"/>
    <n v="3059"/>
    <x v="1"/>
  </r>
  <r>
    <x v="825"/>
    <x v="17"/>
    <x v="1"/>
    <x v="2"/>
    <n v="13"/>
    <n v="40"/>
    <n v="520"/>
    <n v="0.02"/>
    <n v="10.4"/>
    <n v="510"/>
    <x v="2"/>
  </r>
  <r>
    <x v="826"/>
    <x v="17"/>
    <x v="2"/>
    <x v="1"/>
    <n v="7"/>
    <n v="230"/>
    <n v="1610"/>
    <n v="0.08"/>
    <n v="128.80000000000001"/>
    <n v="1481"/>
    <x v="3"/>
  </r>
  <r>
    <x v="827"/>
    <x v="17"/>
    <x v="1"/>
    <x v="3"/>
    <n v="7"/>
    <n v="40"/>
    <n v="280"/>
    <n v="0.11"/>
    <n v="30.8"/>
    <n v="249"/>
    <x v="4"/>
  </r>
  <r>
    <x v="828"/>
    <x v="17"/>
    <x v="2"/>
    <x v="2"/>
    <n v="12"/>
    <n v="230"/>
    <n v="2760"/>
    <n v="0.06"/>
    <n v="165.6"/>
    <n v="2594"/>
    <x v="5"/>
  </r>
  <r>
    <x v="829"/>
    <x v="17"/>
    <x v="1"/>
    <x v="0"/>
    <n v="19"/>
    <n v="40"/>
    <n v="760"/>
    <n v="0.04"/>
    <n v="30.400000000000002"/>
    <n v="730"/>
    <x v="1"/>
  </r>
  <r>
    <x v="830"/>
    <x v="18"/>
    <x v="2"/>
    <x v="2"/>
    <n v="20"/>
    <n v="230"/>
    <n v="4600"/>
    <n v="0.06"/>
    <n v="276"/>
    <n v="4324"/>
    <x v="2"/>
  </r>
  <r>
    <x v="831"/>
    <x v="18"/>
    <x v="1"/>
    <x v="4"/>
    <n v="23"/>
    <n v="40"/>
    <n v="920"/>
    <n v="0.04"/>
    <n v="36.800000000000004"/>
    <n v="883"/>
    <x v="3"/>
  </r>
  <r>
    <x v="832"/>
    <x v="18"/>
    <x v="0"/>
    <x v="4"/>
    <n v="16"/>
    <n v="80"/>
    <n v="1280"/>
    <n v="0.05"/>
    <n v="64"/>
    <n v="1216"/>
    <x v="4"/>
  </r>
  <r>
    <x v="833"/>
    <x v="18"/>
    <x v="4"/>
    <x v="1"/>
    <n v="23"/>
    <n v="150"/>
    <n v="3450"/>
    <n v="0.11"/>
    <n v="379.5"/>
    <n v="3070"/>
    <x v="5"/>
  </r>
  <r>
    <x v="834"/>
    <x v="18"/>
    <x v="3"/>
    <x v="1"/>
    <n v="4"/>
    <n v="16"/>
    <n v="64"/>
    <n v="7.0000000000000007E-2"/>
    <n v="4.4800000000000004"/>
    <n v="60"/>
    <x v="6"/>
  </r>
  <r>
    <x v="835"/>
    <x v="18"/>
    <x v="2"/>
    <x v="0"/>
    <n v="8"/>
    <n v="230"/>
    <n v="1840"/>
    <n v="0.03"/>
    <n v="55.199999999999996"/>
    <n v="1785"/>
    <x v="7"/>
  </r>
  <r>
    <x v="836"/>
    <x v="18"/>
    <x v="0"/>
    <x v="1"/>
    <n v="17"/>
    <n v="80"/>
    <n v="1360"/>
    <n v="0.03"/>
    <n v="40.799999999999997"/>
    <n v="1319"/>
    <x v="8"/>
  </r>
  <r>
    <x v="837"/>
    <x v="18"/>
    <x v="0"/>
    <x v="3"/>
    <n v="10"/>
    <n v="80"/>
    <n v="800"/>
    <n v="0.1"/>
    <n v="80"/>
    <n v="720"/>
    <x v="9"/>
  </r>
  <r>
    <x v="838"/>
    <x v="18"/>
    <x v="3"/>
    <x v="0"/>
    <n v="20"/>
    <n v="16"/>
    <n v="320"/>
    <n v="0.11"/>
    <n v="35.200000000000003"/>
    <n v="285"/>
    <x v="10"/>
  </r>
  <r>
    <x v="839"/>
    <x v="19"/>
    <x v="2"/>
    <x v="3"/>
    <n v="19"/>
    <n v="230"/>
    <n v="4370"/>
    <n v="0.06"/>
    <n v="262.2"/>
    <n v="4108"/>
    <x v="11"/>
  </r>
  <r>
    <x v="840"/>
    <x v="19"/>
    <x v="1"/>
    <x v="2"/>
    <n v="18"/>
    <n v="40"/>
    <n v="720"/>
    <n v="0.03"/>
    <n v="21.599999999999998"/>
    <n v="698"/>
    <x v="0"/>
  </r>
  <r>
    <x v="841"/>
    <x v="19"/>
    <x v="0"/>
    <x v="1"/>
    <n v="16"/>
    <n v="80"/>
    <n v="1280"/>
    <n v="0.04"/>
    <n v="51.2"/>
    <n v="1229"/>
    <x v="1"/>
  </r>
  <r>
    <x v="842"/>
    <x v="19"/>
    <x v="0"/>
    <x v="3"/>
    <n v="8"/>
    <n v="80"/>
    <n v="640"/>
    <n v="0.06"/>
    <n v="38.4"/>
    <n v="602"/>
    <x v="2"/>
  </r>
  <r>
    <x v="843"/>
    <x v="19"/>
    <x v="4"/>
    <x v="3"/>
    <n v="4"/>
    <n v="150"/>
    <n v="600"/>
    <n v="0.12"/>
    <n v="72"/>
    <n v="528"/>
    <x v="3"/>
  </r>
  <r>
    <x v="844"/>
    <x v="19"/>
    <x v="2"/>
    <x v="2"/>
    <n v="15"/>
    <n v="230"/>
    <n v="3450"/>
    <n v="0.04"/>
    <n v="138"/>
    <n v="3312"/>
    <x v="4"/>
  </r>
  <r>
    <x v="845"/>
    <x v="20"/>
    <x v="3"/>
    <x v="1"/>
    <n v="7"/>
    <n v="16"/>
    <n v="112"/>
    <n v="0.08"/>
    <n v="8.9600000000000009"/>
    <n v="103"/>
    <x v="5"/>
  </r>
  <r>
    <x v="846"/>
    <x v="20"/>
    <x v="1"/>
    <x v="0"/>
    <n v="18"/>
    <n v="40"/>
    <n v="720"/>
    <n v="0.11"/>
    <n v="79.2"/>
    <n v="641"/>
    <x v="1"/>
  </r>
  <r>
    <x v="847"/>
    <x v="20"/>
    <x v="1"/>
    <x v="2"/>
    <n v="4"/>
    <n v="40"/>
    <n v="160"/>
    <n v="0.06"/>
    <n v="9.6"/>
    <n v="150"/>
    <x v="2"/>
  </r>
  <r>
    <x v="848"/>
    <x v="20"/>
    <x v="1"/>
    <x v="4"/>
    <n v="16"/>
    <n v="40"/>
    <n v="640"/>
    <n v="0.09"/>
    <n v="57.599999999999994"/>
    <n v="582"/>
    <x v="3"/>
  </r>
  <r>
    <x v="849"/>
    <x v="20"/>
    <x v="1"/>
    <x v="1"/>
    <n v="18"/>
    <n v="40"/>
    <n v="720"/>
    <n v="0.08"/>
    <n v="57.6"/>
    <n v="662"/>
    <x v="4"/>
  </r>
  <r>
    <x v="850"/>
    <x v="20"/>
    <x v="1"/>
    <x v="0"/>
    <n v="9"/>
    <n v="40"/>
    <n v="360"/>
    <n v="0.01"/>
    <n v="3.6"/>
    <n v="356"/>
    <x v="5"/>
  </r>
  <r>
    <x v="851"/>
    <x v="20"/>
    <x v="2"/>
    <x v="3"/>
    <n v="16"/>
    <n v="230"/>
    <n v="3680"/>
    <n v="0.11"/>
    <n v="404.8"/>
    <n v="3275"/>
    <x v="6"/>
  </r>
  <r>
    <x v="852"/>
    <x v="20"/>
    <x v="3"/>
    <x v="2"/>
    <n v="12"/>
    <n v="16"/>
    <n v="192"/>
    <n v="0.11"/>
    <n v="21.12"/>
    <n v="171"/>
    <x v="7"/>
  </r>
  <r>
    <x v="853"/>
    <x v="20"/>
    <x v="0"/>
    <x v="1"/>
    <n v="2"/>
    <n v="80"/>
    <n v="160"/>
    <n v="7.0000000000000007E-2"/>
    <n v="11.200000000000001"/>
    <n v="149"/>
    <x v="8"/>
  </r>
  <r>
    <x v="854"/>
    <x v="20"/>
    <x v="1"/>
    <x v="0"/>
    <n v="2"/>
    <n v="40"/>
    <n v="80"/>
    <n v="0.12"/>
    <n v="9.6"/>
    <n v="70"/>
    <x v="9"/>
  </r>
  <r>
    <x v="855"/>
    <x v="21"/>
    <x v="4"/>
    <x v="0"/>
    <n v="13"/>
    <n v="150"/>
    <n v="1950"/>
    <n v="0.05"/>
    <n v="97.5"/>
    <n v="1852"/>
    <x v="10"/>
  </r>
  <r>
    <x v="856"/>
    <x v="21"/>
    <x v="0"/>
    <x v="0"/>
    <n v="14"/>
    <n v="80"/>
    <n v="1120"/>
    <n v="0.08"/>
    <n v="89.600000000000009"/>
    <n v="1030"/>
    <x v="11"/>
  </r>
  <r>
    <x v="857"/>
    <x v="21"/>
    <x v="4"/>
    <x v="3"/>
    <n v="6"/>
    <n v="150"/>
    <n v="900"/>
    <n v="0.03"/>
    <n v="27"/>
    <n v="873"/>
    <x v="0"/>
  </r>
  <r>
    <x v="858"/>
    <x v="21"/>
    <x v="0"/>
    <x v="3"/>
    <n v="23"/>
    <n v="80"/>
    <n v="1840"/>
    <n v="0.11"/>
    <n v="202.4"/>
    <n v="1638"/>
    <x v="1"/>
  </r>
  <r>
    <x v="859"/>
    <x v="21"/>
    <x v="0"/>
    <x v="3"/>
    <n v="21"/>
    <n v="80"/>
    <n v="1680"/>
    <n v="0.05"/>
    <n v="84"/>
    <n v="1596"/>
    <x v="2"/>
  </r>
  <r>
    <x v="860"/>
    <x v="21"/>
    <x v="3"/>
    <x v="2"/>
    <n v="3"/>
    <n v="16"/>
    <n v="48"/>
    <n v="0.05"/>
    <n v="2.4000000000000004"/>
    <n v="46"/>
    <x v="3"/>
  </r>
  <r>
    <x v="861"/>
    <x v="21"/>
    <x v="3"/>
    <x v="1"/>
    <n v="21"/>
    <n v="16"/>
    <n v="336"/>
    <n v="0.02"/>
    <n v="6.72"/>
    <n v="329"/>
    <x v="4"/>
  </r>
  <r>
    <x v="862"/>
    <x v="21"/>
    <x v="0"/>
    <x v="3"/>
    <n v="4"/>
    <n v="80"/>
    <n v="320"/>
    <n v="0.11"/>
    <n v="35.200000000000003"/>
    <n v="285"/>
    <x v="5"/>
  </r>
  <r>
    <x v="863"/>
    <x v="21"/>
    <x v="4"/>
    <x v="4"/>
    <n v="23"/>
    <n v="150"/>
    <n v="3450"/>
    <n v="0.08"/>
    <n v="276"/>
    <n v="3174"/>
    <x v="1"/>
  </r>
  <r>
    <x v="864"/>
    <x v="21"/>
    <x v="3"/>
    <x v="4"/>
    <n v="23"/>
    <n v="16"/>
    <n v="368"/>
    <n v="0.01"/>
    <n v="3.68"/>
    <n v="364"/>
    <x v="2"/>
  </r>
  <r>
    <x v="865"/>
    <x v="21"/>
    <x v="1"/>
    <x v="3"/>
    <n v="22"/>
    <n v="40"/>
    <n v="880"/>
    <n v="0.01"/>
    <n v="8.8000000000000007"/>
    <n v="871"/>
    <x v="3"/>
  </r>
  <r>
    <x v="866"/>
    <x v="22"/>
    <x v="4"/>
    <x v="0"/>
    <n v="8"/>
    <n v="150"/>
    <n v="1200"/>
    <n v="0.09"/>
    <n v="108"/>
    <n v="1092"/>
    <x v="4"/>
  </r>
  <r>
    <x v="867"/>
    <x v="22"/>
    <x v="4"/>
    <x v="0"/>
    <n v="20"/>
    <n v="150"/>
    <n v="3000"/>
    <n v="0.01"/>
    <n v="30"/>
    <n v="2970"/>
    <x v="5"/>
  </r>
  <r>
    <x v="868"/>
    <x v="22"/>
    <x v="2"/>
    <x v="1"/>
    <n v="22"/>
    <n v="230"/>
    <n v="5060"/>
    <n v="0.11"/>
    <n v="556.6"/>
    <n v="4503"/>
    <x v="6"/>
  </r>
  <r>
    <x v="869"/>
    <x v="22"/>
    <x v="3"/>
    <x v="2"/>
    <n v="23"/>
    <n v="16"/>
    <n v="368"/>
    <n v="0.11"/>
    <n v="40.479999999999997"/>
    <n v="328"/>
    <x v="7"/>
  </r>
  <r>
    <x v="870"/>
    <x v="22"/>
    <x v="0"/>
    <x v="0"/>
    <n v="6"/>
    <n v="80"/>
    <n v="480"/>
    <n v="0.01"/>
    <n v="4.8"/>
    <n v="475"/>
    <x v="8"/>
  </r>
  <r>
    <x v="871"/>
    <x v="22"/>
    <x v="3"/>
    <x v="0"/>
    <n v="7"/>
    <n v="16"/>
    <n v="112"/>
    <n v="0.12"/>
    <n v="13.44"/>
    <n v="99"/>
    <x v="9"/>
  </r>
  <r>
    <x v="872"/>
    <x v="22"/>
    <x v="0"/>
    <x v="1"/>
    <n v="10"/>
    <n v="80"/>
    <n v="800"/>
    <n v="0.11"/>
    <n v="88"/>
    <n v="712"/>
    <x v="10"/>
  </r>
  <r>
    <x v="873"/>
    <x v="22"/>
    <x v="2"/>
    <x v="0"/>
    <n v="9"/>
    <n v="230"/>
    <n v="2070"/>
    <n v="7.0000000000000007E-2"/>
    <n v="144.9"/>
    <n v="1925"/>
    <x v="11"/>
  </r>
  <r>
    <x v="874"/>
    <x v="23"/>
    <x v="1"/>
    <x v="1"/>
    <n v="12"/>
    <n v="40"/>
    <n v="480"/>
    <n v="0.1"/>
    <n v="48"/>
    <n v="432"/>
    <x v="0"/>
  </r>
  <r>
    <x v="875"/>
    <x v="23"/>
    <x v="3"/>
    <x v="4"/>
    <n v="17"/>
    <n v="16"/>
    <n v="272"/>
    <n v="0.1"/>
    <n v="27.200000000000003"/>
    <n v="245"/>
    <x v="1"/>
  </r>
  <r>
    <x v="876"/>
    <x v="23"/>
    <x v="4"/>
    <x v="2"/>
    <n v="22"/>
    <n v="150"/>
    <n v="3300"/>
    <n v="0.04"/>
    <n v="132"/>
    <n v="3168"/>
    <x v="2"/>
  </r>
  <r>
    <x v="877"/>
    <x v="23"/>
    <x v="4"/>
    <x v="2"/>
    <n v="11"/>
    <n v="150"/>
    <n v="1650"/>
    <n v="0.05"/>
    <n v="82.5"/>
    <n v="1568"/>
    <x v="3"/>
  </r>
  <r>
    <x v="878"/>
    <x v="23"/>
    <x v="0"/>
    <x v="4"/>
    <n v="9"/>
    <n v="80"/>
    <n v="720"/>
    <n v="0.02"/>
    <n v="14.4"/>
    <n v="706"/>
    <x v="4"/>
  </r>
  <r>
    <x v="879"/>
    <x v="23"/>
    <x v="0"/>
    <x v="4"/>
    <n v="13"/>
    <n v="80"/>
    <n v="1040"/>
    <n v="0.05"/>
    <n v="52"/>
    <n v="988"/>
    <x v="5"/>
  </r>
  <r>
    <x v="880"/>
    <x v="23"/>
    <x v="1"/>
    <x v="4"/>
    <n v="20"/>
    <n v="40"/>
    <n v="800"/>
    <n v="0.1"/>
    <n v="80"/>
    <n v="720"/>
    <x v="1"/>
  </r>
  <r>
    <x v="881"/>
    <x v="23"/>
    <x v="1"/>
    <x v="1"/>
    <n v="15"/>
    <n v="40"/>
    <n v="600"/>
    <n v="0.02"/>
    <n v="12"/>
    <n v="588"/>
    <x v="2"/>
  </r>
  <r>
    <x v="882"/>
    <x v="24"/>
    <x v="4"/>
    <x v="4"/>
    <n v="15"/>
    <n v="150"/>
    <n v="2250"/>
    <n v="7.0000000000000007E-2"/>
    <n v="157.50000000000003"/>
    <n v="2092"/>
    <x v="3"/>
  </r>
  <r>
    <x v="883"/>
    <x v="24"/>
    <x v="0"/>
    <x v="4"/>
    <n v="16"/>
    <n v="80"/>
    <n v="1280"/>
    <n v="0.09"/>
    <n v="115.19999999999999"/>
    <n v="1165"/>
    <x v="4"/>
  </r>
  <r>
    <x v="884"/>
    <x v="24"/>
    <x v="2"/>
    <x v="0"/>
    <n v="16"/>
    <n v="230"/>
    <n v="3680"/>
    <n v="7.0000000000000007E-2"/>
    <n v="257.60000000000002"/>
    <n v="3422"/>
    <x v="5"/>
  </r>
  <r>
    <x v="885"/>
    <x v="24"/>
    <x v="0"/>
    <x v="1"/>
    <n v="14"/>
    <n v="80"/>
    <n v="1120"/>
    <n v="0.11"/>
    <n v="123.2"/>
    <n v="997"/>
    <x v="6"/>
  </r>
  <r>
    <x v="886"/>
    <x v="24"/>
    <x v="0"/>
    <x v="4"/>
    <n v="17"/>
    <n v="80"/>
    <n v="1360"/>
    <n v="7.0000000000000007E-2"/>
    <n v="95.2"/>
    <n v="1265"/>
    <x v="7"/>
  </r>
  <r>
    <x v="887"/>
    <x v="24"/>
    <x v="0"/>
    <x v="2"/>
    <n v="16"/>
    <n v="80"/>
    <n v="1280"/>
    <n v="0.02"/>
    <n v="25.6"/>
    <n v="1254"/>
    <x v="8"/>
  </r>
  <r>
    <x v="888"/>
    <x v="24"/>
    <x v="3"/>
    <x v="0"/>
    <n v="21"/>
    <n v="16"/>
    <n v="336"/>
    <n v="0.09"/>
    <n v="30.24"/>
    <n v="306"/>
    <x v="9"/>
  </r>
  <r>
    <x v="889"/>
    <x v="24"/>
    <x v="4"/>
    <x v="0"/>
    <n v="9"/>
    <n v="150"/>
    <n v="1350"/>
    <n v="0.1"/>
    <n v="135"/>
    <n v="1215"/>
    <x v="10"/>
  </r>
  <r>
    <x v="890"/>
    <x v="24"/>
    <x v="4"/>
    <x v="3"/>
    <n v="3"/>
    <n v="150"/>
    <n v="450"/>
    <n v="0.01"/>
    <n v="4.5"/>
    <n v="446"/>
    <x v="11"/>
  </r>
  <r>
    <x v="891"/>
    <x v="25"/>
    <x v="0"/>
    <x v="1"/>
    <n v="14"/>
    <n v="80"/>
    <n v="1120"/>
    <n v="0.06"/>
    <n v="67.2"/>
    <n v="1053"/>
    <x v="0"/>
  </r>
  <r>
    <x v="892"/>
    <x v="25"/>
    <x v="4"/>
    <x v="4"/>
    <n v="4"/>
    <n v="150"/>
    <n v="600"/>
    <n v="0.05"/>
    <n v="30"/>
    <n v="570"/>
    <x v="1"/>
  </r>
  <r>
    <x v="893"/>
    <x v="25"/>
    <x v="3"/>
    <x v="1"/>
    <n v="20"/>
    <n v="16"/>
    <n v="320"/>
    <n v="0.06"/>
    <n v="19.2"/>
    <n v="301"/>
    <x v="2"/>
  </r>
  <r>
    <x v="894"/>
    <x v="25"/>
    <x v="2"/>
    <x v="2"/>
    <n v="7"/>
    <n v="230"/>
    <n v="1610"/>
    <n v="0.01"/>
    <n v="16.100000000000001"/>
    <n v="1594"/>
    <x v="3"/>
  </r>
  <r>
    <x v="895"/>
    <x v="25"/>
    <x v="0"/>
    <x v="1"/>
    <n v="9"/>
    <n v="80"/>
    <n v="720"/>
    <n v="0.03"/>
    <n v="21.599999999999998"/>
    <n v="698"/>
    <x v="4"/>
  </r>
  <r>
    <x v="896"/>
    <x v="25"/>
    <x v="1"/>
    <x v="3"/>
    <n v="4"/>
    <n v="40"/>
    <n v="160"/>
    <n v="0.05"/>
    <n v="8"/>
    <n v="152"/>
    <x v="5"/>
  </r>
  <r>
    <x v="897"/>
    <x v="25"/>
    <x v="0"/>
    <x v="0"/>
    <n v="6"/>
    <n v="80"/>
    <n v="480"/>
    <n v="7.0000000000000007E-2"/>
    <n v="33.6"/>
    <n v="446"/>
    <x v="1"/>
  </r>
  <r>
    <x v="898"/>
    <x v="25"/>
    <x v="3"/>
    <x v="2"/>
    <n v="8"/>
    <n v="16"/>
    <n v="128"/>
    <n v="0.03"/>
    <n v="3.84"/>
    <n v="124"/>
    <x v="2"/>
  </r>
  <r>
    <x v="899"/>
    <x v="25"/>
    <x v="3"/>
    <x v="0"/>
    <n v="10"/>
    <n v="16"/>
    <n v="160"/>
    <n v="0.08"/>
    <n v="12.8"/>
    <n v="147"/>
    <x v="3"/>
  </r>
  <r>
    <x v="900"/>
    <x v="25"/>
    <x v="3"/>
    <x v="3"/>
    <n v="22"/>
    <n v="16"/>
    <n v="352"/>
    <n v="0.03"/>
    <n v="10.559999999999999"/>
    <n v="341"/>
    <x v="4"/>
  </r>
  <r>
    <x v="901"/>
    <x v="25"/>
    <x v="0"/>
    <x v="3"/>
    <n v="11"/>
    <n v="80"/>
    <n v="880"/>
    <n v="0.01"/>
    <n v="8.8000000000000007"/>
    <n v="871"/>
    <x v="5"/>
  </r>
  <r>
    <x v="902"/>
    <x v="25"/>
    <x v="3"/>
    <x v="3"/>
    <n v="7"/>
    <n v="16"/>
    <n v="112"/>
    <n v="0.08"/>
    <n v="8.9600000000000009"/>
    <n v="103"/>
    <x v="6"/>
  </r>
  <r>
    <x v="903"/>
    <x v="26"/>
    <x v="3"/>
    <x v="2"/>
    <n v="11"/>
    <n v="16"/>
    <n v="176"/>
    <n v="0.12"/>
    <n v="21.119999999999997"/>
    <n v="155"/>
    <x v="7"/>
  </r>
  <r>
    <x v="904"/>
    <x v="26"/>
    <x v="1"/>
    <x v="4"/>
    <n v="7"/>
    <n v="40"/>
    <n v="280"/>
    <n v="0.05"/>
    <n v="14"/>
    <n v="266"/>
    <x v="8"/>
  </r>
  <r>
    <x v="905"/>
    <x v="26"/>
    <x v="4"/>
    <x v="2"/>
    <n v="9"/>
    <n v="150"/>
    <n v="1350"/>
    <n v="0.06"/>
    <n v="81"/>
    <n v="1269"/>
    <x v="9"/>
  </r>
  <r>
    <x v="906"/>
    <x v="26"/>
    <x v="2"/>
    <x v="0"/>
    <n v="20"/>
    <n v="230"/>
    <n v="4600"/>
    <n v="0.04"/>
    <n v="184"/>
    <n v="4416"/>
    <x v="10"/>
  </r>
  <r>
    <x v="907"/>
    <x v="26"/>
    <x v="4"/>
    <x v="2"/>
    <n v="9"/>
    <n v="150"/>
    <n v="1350"/>
    <n v="0.02"/>
    <n v="27"/>
    <n v="1323"/>
    <x v="11"/>
  </r>
  <r>
    <x v="908"/>
    <x v="26"/>
    <x v="0"/>
    <x v="1"/>
    <n v="5"/>
    <n v="80"/>
    <n v="400"/>
    <n v="7.0000000000000007E-2"/>
    <n v="28.000000000000004"/>
    <n v="372"/>
    <x v="0"/>
  </r>
  <r>
    <x v="909"/>
    <x v="26"/>
    <x v="4"/>
    <x v="2"/>
    <n v="20"/>
    <n v="150"/>
    <n v="3000"/>
    <n v="0.04"/>
    <n v="120"/>
    <n v="2880"/>
    <x v="1"/>
  </r>
  <r>
    <x v="910"/>
    <x v="26"/>
    <x v="4"/>
    <x v="3"/>
    <n v="15"/>
    <n v="150"/>
    <n v="2250"/>
    <n v="0.05"/>
    <n v="112.5"/>
    <n v="2138"/>
    <x v="2"/>
  </r>
  <r>
    <x v="911"/>
    <x v="26"/>
    <x v="0"/>
    <x v="0"/>
    <n v="20"/>
    <n v="80"/>
    <n v="1600"/>
    <n v="0.01"/>
    <n v="16"/>
    <n v="1584"/>
    <x v="3"/>
  </r>
  <r>
    <x v="912"/>
    <x v="27"/>
    <x v="2"/>
    <x v="1"/>
    <n v="12"/>
    <n v="230"/>
    <n v="2760"/>
    <n v="0.03"/>
    <n v="82.8"/>
    <n v="2677"/>
    <x v="4"/>
  </r>
  <r>
    <x v="913"/>
    <x v="27"/>
    <x v="1"/>
    <x v="4"/>
    <n v="20"/>
    <n v="40"/>
    <n v="800"/>
    <n v="0.05"/>
    <n v="40"/>
    <n v="760"/>
    <x v="5"/>
  </r>
  <r>
    <x v="914"/>
    <x v="27"/>
    <x v="1"/>
    <x v="4"/>
    <n v="4"/>
    <n v="40"/>
    <n v="160"/>
    <n v="0.09"/>
    <n v="14.399999999999999"/>
    <n v="146"/>
    <x v="1"/>
  </r>
  <r>
    <x v="915"/>
    <x v="27"/>
    <x v="3"/>
    <x v="2"/>
    <n v="6"/>
    <n v="16"/>
    <n v="96"/>
    <n v="7.0000000000000007E-2"/>
    <n v="6.7200000000000006"/>
    <n v="89"/>
    <x v="2"/>
  </r>
  <r>
    <x v="916"/>
    <x v="27"/>
    <x v="0"/>
    <x v="1"/>
    <n v="13"/>
    <n v="80"/>
    <n v="1040"/>
    <n v="0.06"/>
    <n v="62.4"/>
    <n v="978"/>
    <x v="3"/>
  </r>
  <r>
    <x v="917"/>
    <x v="27"/>
    <x v="4"/>
    <x v="0"/>
    <n v="4"/>
    <n v="150"/>
    <n v="600"/>
    <n v="0.1"/>
    <n v="60"/>
    <n v="540"/>
    <x v="4"/>
  </r>
  <r>
    <x v="918"/>
    <x v="27"/>
    <x v="4"/>
    <x v="3"/>
    <n v="9"/>
    <n v="150"/>
    <n v="1350"/>
    <n v="0.02"/>
    <n v="27"/>
    <n v="1323"/>
    <x v="5"/>
  </r>
  <r>
    <x v="919"/>
    <x v="27"/>
    <x v="4"/>
    <x v="0"/>
    <n v="11"/>
    <n v="150"/>
    <n v="1650"/>
    <n v="0.05"/>
    <n v="82.5"/>
    <n v="1568"/>
    <x v="6"/>
  </r>
  <r>
    <x v="920"/>
    <x v="27"/>
    <x v="3"/>
    <x v="2"/>
    <n v="6"/>
    <n v="16"/>
    <n v="96"/>
    <n v="0.06"/>
    <n v="5.76"/>
    <n v="90"/>
    <x v="7"/>
  </r>
  <r>
    <x v="921"/>
    <x v="28"/>
    <x v="2"/>
    <x v="2"/>
    <n v="14"/>
    <n v="230"/>
    <n v="3220"/>
    <n v="0.12"/>
    <n v="386.4"/>
    <n v="2834"/>
    <x v="8"/>
  </r>
  <r>
    <x v="922"/>
    <x v="28"/>
    <x v="0"/>
    <x v="1"/>
    <n v="15"/>
    <n v="80"/>
    <n v="1200"/>
    <n v="0.12"/>
    <n v="144"/>
    <n v="1056"/>
    <x v="9"/>
  </r>
  <r>
    <x v="923"/>
    <x v="28"/>
    <x v="2"/>
    <x v="3"/>
    <n v="17"/>
    <n v="230"/>
    <n v="3910"/>
    <n v="0.12"/>
    <n v="469.2"/>
    <n v="3441"/>
    <x v="10"/>
  </r>
  <r>
    <x v="924"/>
    <x v="28"/>
    <x v="4"/>
    <x v="0"/>
    <n v="5"/>
    <n v="150"/>
    <n v="750"/>
    <n v="0.11"/>
    <n v="82.5"/>
    <n v="668"/>
    <x v="11"/>
  </r>
  <r>
    <x v="925"/>
    <x v="28"/>
    <x v="0"/>
    <x v="4"/>
    <n v="10"/>
    <n v="80"/>
    <n v="800"/>
    <n v="0.06"/>
    <n v="48"/>
    <n v="752"/>
    <x v="0"/>
  </r>
  <r>
    <x v="926"/>
    <x v="28"/>
    <x v="0"/>
    <x v="0"/>
    <n v="9"/>
    <n v="80"/>
    <n v="720"/>
    <n v="0.04"/>
    <n v="28.8"/>
    <n v="691"/>
    <x v="1"/>
  </r>
  <r>
    <x v="927"/>
    <x v="28"/>
    <x v="1"/>
    <x v="4"/>
    <n v="16"/>
    <n v="40"/>
    <n v="640"/>
    <n v="0.09"/>
    <n v="57.599999999999994"/>
    <n v="582"/>
    <x v="2"/>
  </r>
  <r>
    <x v="928"/>
    <x v="28"/>
    <x v="2"/>
    <x v="0"/>
    <n v="7"/>
    <n v="230"/>
    <n v="1610"/>
    <n v="0.08"/>
    <n v="128.80000000000001"/>
    <n v="1481"/>
    <x v="3"/>
  </r>
  <r>
    <x v="929"/>
    <x v="28"/>
    <x v="0"/>
    <x v="3"/>
    <n v="17"/>
    <n v="80"/>
    <n v="1360"/>
    <n v="0.05"/>
    <n v="68"/>
    <n v="1292"/>
    <x v="4"/>
  </r>
  <r>
    <x v="930"/>
    <x v="28"/>
    <x v="2"/>
    <x v="0"/>
    <n v="11"/>
    <n v="230"/>
    <n v="2530"/>
    <n v="0.02"/>
    <n v="50.6"/>
    <n v="2479"/>
    <x v="5"/>
  </r>
  <r>
    <x v="931"/>
    <x v="29"/>
    <x v="1"/>
    <x v="0"/>
    <n v="15"/>
    <n v="40"/>
    <n v="600"/>
    <n v="0.06"/>
    <n v="36"/>
    <n v="564"/>
    <x v="1"/>
  </r>
  <r>
    <x v="932"/>
    <x v="30"/>
    <x v="2"/>
    <x v="0"/>
    <n v="7"/>
    <n v="230"/>
    <n v="1610"/>
    <n v="0.02"/>
    <n v="32.200000000000003"/>
    <n v="1578"/>
    <x v="2"/>
  </r>
  <r>
    <x v="933"/>
    <x v="30"/>
    <x v="0"/>
    <x v="2"/>
    <n v="20"/>
    <n v="80"/>
    <n v="1600"/>
    <n v="7.0000000000000007E-2"/>
    <n v="112.00000000000001"/>
    <n v="1488"/>
    <x v="3"/>
  </r>
  <r>
    <x v="934"/>
    <x v="30"/>
    <x v="0"/>
    <x v="1"/>
    <n v="3"/>
    <n v="80"/>
    <n v="240"/>
    <n v="0.02"/>
    <n v="4.8"/>
    <n v="235"/>
    <x v="4"/>
  </r>
  <r>
    <x v="935"/>
    <x v="30"/>
    <x v="4"/>
    <x v="2"/>
    <n v="2"/>
    <n v="150"/>
    <n v="300"/>
    <n v="0.02"/>
    <n v="6"/>
    <n v="294"/>
    <x v="5"/>
  </r>
  <r>
    <x v="936"/>
    <x v="30"/>
    <x v="4"/>
    <x v="2"/>
    <n v="22"/>
    <n v="150"/>
    <n v="3300"/>
    <n v="0.09"/>
    <n v="297"/>
    <n v="3003"/>
    <x v="6"/>
  </r>
  <r>
    <x v="937"/>
    <x v="30"/>
    <x v="2"/>
    <x v="0"/>
    <n v="5"/>
    <n v="230"/>
    <n v="1150"/>
    <n v="0.1"/>
    <n v="115"/>
    <n v="1035"/>
    <x v="7"/>
  </r>
  <r>
    <x v="938"/>
    <x v="30"/>
    <x v="3"/>
    <x v="4"/>
    <n v="12"/>
    <n v="16"/>
    <n v="192"/>
    <n v="0.04"/>
    <n v="7.68"/>
    <n v="184"/>
    <x v="8"/>
  </r>
  <r>
    <x v="939"/>
    <x v="30"/>
    <x v="1"/>
    <x v="3"/>
    <n v="6"/>
    <n v="40"/>
    <n v="240"/>
    <n v="7.0000000000000007E-2"/>
    <n v="16.8"/>
    <n v="223"/>
    <x v="9"/>
  </r>
  <r>
    <x v="940"/>
    <x v="30"/>
    <x v="3"/>
    <x v="4"/>
    <n v="15"/>
    <n v="16"/>
    <n v="240"/>
    <n v="0.01"/>
    <n v="2.4"/>
    <n v="238"/>
    <x v="10"/>
  </r>
  <r>
    <x v="941"/>
    <x v="0"/>
    <x v="4"/>
    <x v="4"/>
    <n v="13"/>
    <n v="150"/>
    <n v="1950"/>
    <n v="0.11"/>
    <n v="214.5"/>
    <n v="1736"/>
    <x v="11"/>
  </r>
  <r>
    <x v="942"/>
    <x v="0"/>
    <x v="1"/>
    <x v="1"/>
    <n v="8"/>
    <n v="40"/>
    <n v="320"/>
    <n v="0.09"/>
    <n v="28.799999999999997"/>
    <n v="291"/>
    <x v="0"/>
  </r>
  <r>
    <x v="943"/>
    <x v="0"/>
    <x v="1"/>
    <x v="3"/>
    <n v="7"/>
    <n v="40"/>
    <n v="280"/>
    <n v="7.0000000000000007E-2"/>
    <n v="19.600000000000001"/>
    <n v="260"/>
    <x v="1"/>
  </r>
  <r>
    <x v="944"/>
    <x v="0"/>
    <x v="1"/>
    <x v="1"/>
    <n v="18"/>
    <n v="40"/>
    <n v="720"/>
    <n v="0.08"/>
    <n v="57.6"/>
    <n v="662"/>
    <x v="2"/>
  </r>
  <r>
    <x v="945"/>
    <x v="0"/>
    <x v="2"/>
    <x v="3"/>
    <n v="19"/>
    <n v="230"/>
    <n v="4370"/>
    <n v="0.06"/>
    <n v="262.2"/>
    <n v="4108"/>
    <x v="3"/>
  </r>
  <r>
    <x v="946"/>
    <x v="0"/>
    <x v="4"/>
    <x v="0"/>
    <n v="4"/>
    <n v="150"/>
    <n v="600"/>
    <n v="0.1"/>
    <n v="60"/>
    <n v="540"/>
    <x v="4"/>
  </r>
  <r>
    <x v="947"/>
    <x v="1"/>
    <x v="0"/>
    <x v="4"/>
    <n v="9"/>
    <n v="80"/>
    <n v="720"/>
    <n v="0.06"/>
    <n v="43.199999999999996"/>
    <n v="677"/>
    <x v="5"/>
  </r>
  <r>
    <x v="948"/>
    <x v="1"/>
    <x v="0"/>
    <x v="2"/>
    <n v="16"/>
    <n v="80"/>
    <n v="1280"/>
    <n v="0.02"/>
    <n v="25.6"/>
    <n v="1254"/>
    <x v="1"/>
  </r>
  <r>
    <x v="949"/>
    <x v="1"/>
    <x v="2"/>
    <x v="1"/>
    <n v="15"/>
    <n v="230"/>
    <n v="3450"/>
    <n v="0.09"/>
    <n v="310.5"/>
    <n v="3140"/>
    <x v="2"/>
  </r>
  <r>
    <x v="950"/>
    <x v="1"/>
    <x v="3"/>
    <x v="4"/>
    <n v="15"/>
    <n v="16"/>
    <n v="240"/>
    <n v="0.01"/>
    <n v="2.4"/>
    <n v="238"/>
    <x v="3"/>
  </r>
  <r>
    <x v="951"/>
    <x v="1"/>
    <x v="2"/>
    <x v="0"/>
    <n v="7"/>
    <n v="230"/>
    <n v="1610"/>
    <n v="0.02"/>
    <n v="32.200000000000003"/>
    <n v="1578"/>
    <x v="4"/>
  </r>
  <r>
    <x v="952"/>
    <x v="1"/>
    <x v="3"/>
    <x v="2"/>
    <n v="23"/>
    <n v="16"/>
    <n v="368"/>
    <n v="0.11"/>
    <n v="40.479999999999997"/>
    <n v="328"/>
    <x v="5"/>
  </r>
  <r>
    <x v="953"/>
    <x v="1"/>
    <x v="1"/>
    <x v="4"/>
    <n v="20"/>
    <n v="40"/>
    <n v="800"/>
    <n v="0.05"/>
    <n v="40"/>
    <n v="760"/>
    <x v="6"/>
  </r>
  <r>
    <x v="954"/>
    <x v="2"/>
    <x v="2"/>
    <x v="1"/>
    <n v="9"/>
    <n v="230"/>
    <n v="2070"/>
    <n v="0.03"/>
    <n v="62.099999999999994"/>
    <n v="2008"/>
    <x v="7"/>
  </r>
  <r>
    <x v="955"/>
    <x v="2"/>
    <x v="1"/>
    <x v="3"/>
    <n v="23"/>
    <n v="40"/>
    <n v="920"/>
    <n v="0.06"/>
    <n v="55.199999999999996"/>
    <n v="865"/>
    <x v="8"/>
  </r>
  <r>
    <x v="956"/>
    <x v="2"/>
    <x v="1"/>
    <x v="3"/>
    <n v="4"/>
    <n v="40"/>
    <n v="160"/>
    <n v="0.05"/>
    <n v="8"/>
    <n v="152"/>
    <x v="9"/>
  </r>
  <r>
    <x v="957"/>
    <x v="2"/>
    <x v="4"/>
    <x v="0"/>
    <n v="13"/>
    <n v="150"/>
    <n v="1950"/>
    <n v="0.05"/>
    <n v="97.5"/>
    <n v="1852"/>
    <x v="10"/>
  </r>
  <r>
    <x v="958"/>
    <x v="2"/>
    <x v="2"/>
    <x v="1"/>
    <n v="7"/>
    <n v="230"/>
    <n v="1610"/>
    <n v="0.01"/>
    <n v="16.100000000000001"/>
    <n v="1594"/>
    <x v="11"/>
  </r>
  <r>
    <x v="959"/>
    <x v="2"/>
    <x v="2"/>
    <x v="1"/>
    <n v="7"/>
    <n v="230"/>
    <n v="1610"/>
    <n v="0.08"/>
    <n v="128.80000000000001"/>
    <n v="1481"/>
    <x v="0"/>
  </r>
  <r>
    <x v="960"/>
    <x v="2"/>
    <x v="2"/>
    <x v="2"/>
    <n v="15"/>
    <n v="230"/>
    <n v="3450"/>
    <n v="0.04"/>
    <n v="138"/>
    <n v="3312"/>
    <x v="1"/>
  </r>
  <r>
    <x v="961"/>
    <x v="2"/>
    <x v="1"/>
    <x v="3"/>
    <n v="15"/>
    <n v="40"/>
    <n v="600"/>
    <n v="0.03"/>
    <n v="18"/>
    <n v="582"/>
    <x v="2"/>
  </r>
  <r>
    <x v="962"/>
    <x v="2"/>
    <x v="1"/>
    <x v="2"/>
    <n v="2"/>
    <n v="40"/>
    <n v="80"/>
    <n v="0.03"/>
    <n v="2.4"/>
    <n v="78"/>
    <x v="3"/>
  </r>
  <r>
    <x v="963"/>
    <x v="2"/>
    <x v="4"/>
    <x v="2"/>
    <n v="2"/>
    <n v="150"/>
    <n v="300"/>
    <n v="0.02"/>
    <n v="6"/>
    <n v="294"/>
    <x v="4"/>
  </r>
  <r>
    <x v="964"/>
    <x v="3"/>
    <x v="2"/>
    <x v="0"/>
    <n v="3"/>
    <n v="230"/>
    <n v="690"/>
    <n v="0.11"/>
    <n v="75.900000000000006"/>
    <n v="614"/>
    <x v="5"/>
  </r>
  <r>
    <x v="965"/>
    <x v="3"/>
    <x v="1"/>
    <x v="2"/>
    <n v="4"/>
    <n v="40"/>
    <n v="160"/>
    <n v="0.06"/>
    <n v="9.6"/>
    <n v="150"/>
    <x v="1"/>
  </r>
  <r>
    <x v="966"/>
    <x v="3"/>
    <x v="1"/>
    <x v="3"/>
    <n v="13"/>
    <n v="40"/>
    <n v="520"/>
    <n v="0.06"/>
    <n v="31.2"/>
    <n v="489"/>
    <x v="2"/>
  </r>
  <r>
    <x v="967"/>
    <x v="3"/>
    <x v="3"/>
    <x v="3"/>
    <n v="15"/>
    <n v="16"/>
    <n v="240"/>
    <n v="0.12"/>
    <n v="28.799999999999997"/>
    <n v="211"/>
    <x v="3"/>
  </r>
  <r>
    <x v="968"/>
    <x v="3"/>
    <x v="0"/>
    <x v="0"/>
    <n v="14"/>
    <n v="80"/>
    <n v="1120"/>
    <n v="0.08"/>
    <n v="89.600000000000009"/>
    <n v="1030"/>
    <x v="4"/>
  </r>
  <r>
    <x v="969"/>
    <x v="3"/>
    <x v="3"/>
    <x v="0"/>
    <n v="7"/>
    <n v="16"/>
    <n v="112"/>
    <n v="0.08"/>
    <n v="8.9600000000000009"/>
    <n v="103"/>
    <x v="5"/>
  </r>
  <r>
    <x v="970"/>
    <x v="3"/>
    <x v="4"/>
    <x v="1"/>
    <n v="13"/>
    <n v="150"/>
    <n v="1950"/>
    <n v="0.02"/>
    <n v="39"/>
    <n v="1911"/>
    <x v="6"/>
  </r>
  <r>
    <x v="971"/>
    <x v="3"/>
    <x v="4"/>
    <x v="2"/>
    <n v="9"/>
    <n v="150"/>
    <n v="1350"/>
    <n v="0.02"/>
    <n v="27"/>
    <n v="1323"/>
    <x v="7"/>
  </r>
  <r>
    <x v="972"/>
    <x v="3"/>
    <x v="1"/>
    <x v="0"/>
    <n v="9"/>
    <n v="40"/>
    <n v="360"/>
    <n v="0.01"/>
    <n v="3.6"/>
    <n v="356"/>
    <x v="8"/>
  </r>
  <r>
    <x v="973"/>
    <x v="4"/>
    <x v="0"/>
    <x v="4"/>
    <n v="9"/>
    <n v="80"/>
    <n v="720"/>
    <n v="7.0000000000000007E-2"/>
    <n v="50.400000000000006"/>
    <n v="670"/>
    <x v="9"/>
  </r>
  <r>
    <x v="974"/>
    <x v="4"/>
    <x v="2"/>
    <x v="1"/>
    <n v="22"/>
    <n v="230"/>
    <n v="5060"/>
    <n v="0.11"/>
    <n v="556.6"/>
    <n v="4503"/>
    <x v="10"/>
  </r>
  <r>
    <x v="975"/>
    <x v="4"/>
    <x v="4"/>
    <x v="1"/>
    <n v="15"/>
    <n v="150"/>
    <n v="2250"/>
    <n v="0.02"/>
    <n v="45"/>
    <n v="2205"/>
    <x v="11"/>
  </r>
  <r>
    <x v="976"/>
    <x v="4"/>
    <x v="2"/>
    <x v="4"/>
    <n v="5"/>
    <n v="230"/>
    <n v="1150"/>
    <n v="0.12"/>
    <n v="138"/>
    <n v="1012"/>
    <x v="0"/>
  </r>
  <r>
    <x v="977"/>
    <x v="4"/>
    <x v="1"/>
    <x v="2"/>
    <n v="20"/>
    <n v="40"/>
    <n v="800"/>
    <n v="0.01"/>
    <n v="8"/>
    <n v="792"/>
    <x v="1"/>
  </r>
  <r>
    <x v="978"/>
    <x v="4"/>
    <x v="1"/>
    <x v="0"/>
    <n v="23"/>
    <n v="40"/>
    <n v="920"/>
    <n v="0.03"/>
    <n v="27.599999999999998"/>
    <n v="892"/>
    <x v="2"/>
  </r>
  <r>
    <x v="979"/>
    <x v="4"/>
    <x v="0"/>
    <x v="4"/>
    <n v="16"/>
    <n v="80"/>
    <n v="1280"/>
    <n v="0.05"/>
    <n v="64"/>
    <n v="1216"/>
    <x v="3"/>
  </r>
  <r>
    <x v="980"/>
    <x v="4"/>
    <x v="2"/>
    <x v="2"/>
    <n v="18"/>
    <n v="230"/>
    <n v="4140"/>
    <n v="0.01"/>
    <n v="41.4"/>
    <n v="4099"/>
    <x v="4"/>
  </r>
  <r>
    <x v="981"/>
    <x v="4"/>
    <x v="1"/>
    <x v="4"/>
    <n v="23"/>
    <n v="40"/>
    <n v="920"/>
    <n v="0.05"/>
    <n v="46"/>
    <n v="874"/>
    <x v="5"/>
  </r>
  <r>
    <x v="982"/>
    <x v="4"/>
    <x v="3"/>
    <x v="3"/>
    <n v="5"/>
    <n v="16"/>
    <n v="80"/>
    <n v="0.09"/>
    <n v="7.1999999999999993"/>
    <n v="73"/>
    <x v="1"/>
  </r>
  <r>
    <x v="983"/>
    <x v="4"/>
    <x v="1"/>
    <x v="0"/>
    <n v="22"/>
    <n v="40"/>
    <n v="880"/>
    <n v="0.02"/>
    <n v="17.600000000000001"/>
    <n v="862"/>
    <x v="2"/>
  </r>
  <r>
    <x v="984"/>
    <x v="5"/>
    <x v="4"/>
    <x v="0"/>
    <n v="23"/>
    <n v="150"/>
    <n v="3450"/>
    <n v="0.1"/>
    <n v="345"/>
    <n v="3105"/>
    <x v="3"/>
  </r>
  <r>
    <x v="985"/>
    <x v="5"/>
    <x v="2"/>
    <x v="1"/>
    <n v="22"/>
    <n v="230"/>
    <n v="5060"/>
    <n v="0.04"/>
    <n v="202.4"/>
    <n v="4858"/>
    <x v="4"/>
  </r>
  <r>
    <x v="986"/>
    <x v="5"/>
    <x v="0"/>
    <x v="3"/>
    <n v="16"/>
    <n v="80"/>
    <n v="1280"/>
    <n v="7.0000000000000007E-2"/>
    <n v="89.600000000000009"/>
    <n v="1190"/>
    <x v="5"/>
  </r>
  <r>
    <x v="987"/>
    <x v="5"/>
    <x v="4"/>
    <x v="2"/>
    <n v="22"/>
    <n v="150"/>
    <n v="3300"/>
    <n v="0.09"/>
    <n v="297"/>
    <n v="3003"/>
    <x v="6"/>
  </r>
  <r>
    <x v="988"/>
    <x v="5"/>
    <x v="0"/>
    <x v="2"/>
    <n v="5"/>
    <n v="80"/>
    <n v="400"/>
    <n v="0.09"/>
    <n v="36"/>
    <n v="364"/>
    <x v="7"/>
  </r>
  <r>
    <x v="989"/>
    <x v="5"/>
    <x v="0"/>
    <x v="3"/>
    <n v="16"/>
    <n v="80"/>
    <n v="1280"/>
    <n v="0.1"/>
    <n v="128"/>
    <n v="1152"/>
    <x v="8"/>
  </r>
  <r>
    <x v="990"/>
    <x v="5"/>
    <x v="4"/>
    <x v="1"/>
    <n v="23"/>
    <n v="150"/>
    <n v="3450"/>
    <n v="0.11"/>
    <n v="379.5"/>
    <n v="3070"/>
    <x v="9"/>
  </r>
  <r>
    <x v="991"/>
    <x v="5"/>
    <x v="3"/>
    <x v="1"/>
    <n v="4"/>
    <n v="16"/>
    <n v="64"/>
    <n v="0.09"/>
    <n v="5.76"/>
    <n v="58"/>
    <x v="10"/>
  </r>
  <r>
    <x v="992"/>
    <x v="5"/>
    <x v="3"/>
    <x v="1"/>
    <n v="4"/>
    <n v="16"/>
    <n v="64"/>
    <n v="7.0000000000000007E-2"/>
    <n v="4.4800000000000004"/>
    <n v="60"/>
    <x v="11"/>
  </r>
  <r>
    <x v="993"/>
    <x v="5"/>
    <x v="3"/>
    <x v="0"/>
    <n v="16"/>
    <n v="16"/>
    <n v="256"/>
    <n v="0.03"/>
    <n v="7.68"/>
    <n v="248"/>
    <x v="0"/>
  </r>
  <r>
    <x v="994"/>
    <x v="5"/>
    <x v="1"/>
    <x v="3"/>
    <n v="18"/>
    <n v="40"/>
    <n v="720"/>
    <n v="0.04"/>
    <n v="28.8"/>
    <n v="691"/>
    <x v="1"/>
  </r>
  <r>
    <x v="995"/>
    <x v="5"/>
    <x v="0"/>
    <x v="3"/>
    <n v="21"/>
    <n v="80"/>
    <n v="1680"/>
    <n v="0.02"/>
    <n v="33.6"/>
    <n v="1646"/>
    <x v="2"/>
  </r>
  <r>
    <x v="996"/>
    <x v="5"/>
    <x v="0"/>
    <x v="4"/>
    <n v="10"/>
    <n v="80"/>
    <n v="800"/>
    <n v="0.06"/>
    <n v="48"/>
    <n v="752"/>
    <x v="3"/>
  </r>
  <r>
    <x v="997"/>
    <x v="5"/>
    <x v="2"/>
    <x v="2"/>
    <n v="7"/>
    <n v="230"/>
    <n v="1610"/>
    <n v="0.01"/>
    <n v="16.100000000000001"/>
    <n v="1594"/>
    <x v="4"/>
  </r>
  <r>
    <x v="998"/>
    <x v="6"/>
    <x v="3"/>
    <x v="4"/>
    <n v="11"/>
    <n v="16"/>
    <n v="176"/>
    <n v="0.12"/>
    <n v="21.119999999999997"/>
    <n v="155"/>
    <x v="5"/>
  </r>
  <r>
    <x v="999"/>
    <x v="6"/>
    <x v="0"/>
    <x v="3"/>
    <n v="10"/>
    <n v="80"/>
    <n v="800"/>
    <n v="0.1"/>
    <n v="80"/>
    <n v="720"/>
    <x v="1"/>
  </r>
  <r>
    <x v="1000"/>
    <x v="6"/>
    <x v="1"/>
    <x v="1"/>
    <n v="23"/>
    <n v="40"/>
    <n v="920"/>
    <n v="0.06"/>
    <n v="55.199999999999996"/>
    <n v="865"/>
    <x v="2"/>
  </r>
  <r>
    <x v="1001"/>
    <x v="6"/>
    <x v="4"/>
    <x v="4"/>
    <n v="7"/>
    <n v="150"/>
    <n v="1050"/>
    <n v="0.02"/>
    <n v="21"/>
    <n v="1029"/>
    <x v="3"/>
  </r>
  <r>
    <x v="1002"/>
    <x v="6"/>
    <x v="0"/>
    <x v="0"/>
    <n v="17"/>
    <n v="80"/>
    <n v="1360"/>
    <n v="7.0000000000000007E-2"/>
    <n v="95.2"/>
    <n v="1265"/>
    <x v="4"/>
  </r>
  <r>
    <x v="1003"/>
    <x v="6"/>
    <x v="4"/>
    <x v="1"/>
    <n v="20"/>
    <n v="150"/>
    <n v="3000"/>
    <n v="0.09"/>
    <n v="270"/>
    <n v="2730"/>
    <x v="5"/>
  </r>
  <r>
    <x v="1004"/>
    <x v="6"/>
    <x v="2"/>
    <x v="3"/>
    <n v="23"/>
    <n v="230"/>
    <n v="5290"/>
    <n v="0.06"/>
    <n v="317.39999999999998"/>
    <n v="4973"/>
    <x v="6"/>
  </r>
  <r>
    <x v="1005"/>
    <x v="6"/>
    <x v="0"/>
    <x v="1"/>
    <n v="16"/>
    <n v="80"/>
    <n v="1280"/>
    <n v="0.04"/>
    <n v="51.2"/>
    <n v="1229"/>
    <x v="7"/>
  </r>
  <r>
    <x v="1006"/>
    <x v="6"/>
    <x v="2"/>
    <x v="4"/>
    <n v="22"/>
    <n v="230"/>
    <n v="5060"/>
    <n v="0.1"/>
    <n v="506"/>
    <n v="4554"/>
    <x v="8"/>
  </r>
  <r>
    <x v="1007"/>
    <x v="6"/>
    <x v="2"/>
    <x v="2"/>
    <n v="15"/>
    <n v="230"/>
    <n v="3450"/>
    <n v="0.11"/>
    <n v="379.5"/>
    <n v="3070"/>
    <x v="9"/>
  </r>
  <r>
    <x v="1008"/>
    <x v="6"/>
    <x v="1"/>
    <x v="1"/>
    <n v="15"/>
    <n v="40"/>
    <n v="600"/>
    <n v="0.04"/>
    <n v="24"/>
    <n v="576"/>
    <x v="10"/>
  </r>
  <r>
    <x v="1009"/>
    <x v="6"/>
    <x v="0"/>
    <x v="1"/>
    <n v="2"/>
    <n v="80"/>
    <n v="160"/>
    <n v="7.0000000000000007E-2"/>
    <n v="11.200000000000001"/>
    <n v="149"/>
    <x v="11"/>
  </r>
  <r>
    <x v="1010"/>
    <x v="7"/>
    <x v="4"/>
    <x v="0"/>
    <n v="22"/>
    <n v="150"/>
    <n v="3300"/>
    <n v="0.05"/>
    <n v="165"/>
    <n v="3135"/>
    <x v="0"/>
  </r>
  <r>
    <x v="1011"/>
    <x v="7"/>
    <x v="1"/>
    <x v="4"/>
    <n v="20"/>
    <n v="40"/>
    <n v="800"/>
    <n v="7.0000000000000007E-2"/>
    <n v="56.000000000000007"/>
    <n v="744"/>
    <x v="1"/>
  </r>
  <r>
    <x v="1012"/>
    <x v="7"/>
    <x v="2"/>
    <x v="3"/>
    <n v="2"/>
    <n v="230"/>
    <n v="460"/>
    <n v="0.09"/>
    <n v="41.4"/>
    <n v="419"/>
    <x v="2"/>
  </r>
  <r>
    <x v="1013"/>
    <x v="7"/>
    <x v="1"/>
    <x v="3"/>
    <n v="7"/>
    <n v="40"/>
    <n v="280"/>
    <n v="0.11"/>
    <n v="30.8"/>
    <n v="249"/>
    <x v="3"/>
  </r>
  <r>
    <x v="1014"/>
    <x v="7"/>
    <x v="1"/>
    <x v="3"/>
    <n v="9"/>
    <n v="40"/>
    <n v="360"/>
    <n v="0.06"/>
    <n v="21.599999999999998"/>
    <n v="338"/>
    <x v="5"/>
  </r>
  <r>
    <x v="1015"/>
    <x v="7"/>
    <x v="1"/>
    <x v="0"/>
    <n v="18"/>
    <n v="40"/>
    <n v="720"/>
    <n v="0.11"/>
    <n v="79.2"/>
    <n v="641"/>
    <x v="1"/>
  </r>
  <r>
    <x v="1016"/>
    <x v="7"/>
    <x v="2"/>
    <x v="0"/>
    <n v="20"/>
    <n v="230"/>
    <n v="4600"/>
    <n v="0.04"/>
    <n v="184"/>
    <n v="4416"/>
    <x v="2"/>
  </r>
  <r>
    <x v="1017"/>
    <x v="7"/>
    <x v="0"/>
    <x v="2"/>
    <n v="23"/>
    <n v="80"/>
    <n v="1840"/>
    <n v="0.05"/>
    <n v="92"/>
    <n v="1748"/>
    <x v="3"/>
  </r>
  <r>
    <x v="1018"/>
    <x v="7"/>
    <x v="4"/>
    <x v="4"/>
    <n v="11"/>
    <n v="150"/>
    <n v="1650"/>
    <n v="0.09"/>
    <n v="148.5"/>
    <n v="1502"/>
    <x v="4"/>
  </r>
  <r>
    <x v="1019"/>
    <x v="7"/>
    <x v="4"/>
    <x v="0"/>
    <n v="17"/>
    <n v="150"/>
    <n v="2550"/>
    <n v="0.12"/>
    <n v="306"/>
    <n v="2244"/>
    <x v="5"/>
  </r>
  <r>
    <x v="1020"/>
    <x v="7"/>
    <x v="2"/>
    <x v="4"/>
    <n v="2"/>
    <n v="230"/>
    <n v="460"/>
    <n v="0.08"/>
    <n v="36.800000000000004"/>
    <n v="423"/>
    <x v="6"/>
  </r>
  <r>
    <x v="1021"/>
    <x v="7"/>
    <x v="0"/>
    <x v="2"/>
    <n v="10"/>
    <n v="80"/>
    <n v="800"/>
    <n v="0.11"/>
    <n v="88"/>
    <n v="712"/>
    <x v="7"/>
  </r>
  <r>
    <x v="1022"/>
    <x v="8"/>
    <x v="3"/>
    <x v="3"/>
    <n v="22"/>
    <n v="16"/>
    <n v="352"/>
    <n v="0.03"/>
    <n v="10.559999999999999"/>
    <n v="341"/>
    <x v="8"/>
  </r>
  <r>
    <x v="1023"/>
    <x v="8"/>
    <x v="3"/>
    <x v="2"/>
    <n v="9"/>
    <n v="16"/>
    <n v="144"/>
    <n v="0.05"/>
    <n v="7.2"/>
    <n v="137"/>
    <x v="9"/>
  </r>
  <r>
    <x v="1024"/>
    <x v="8"/>
    <x v="1"/>
    <x v="2"/>
    <n v="4"/>
    <n v="40"/>
    <n v="160"/>
    <n v="0.1"/>
    <n v="16"/>
    <n v="144"/>
    <x v="10"/>
  </r>
  <r>
    <x v="1025"/>
    <x v="8"/>
    <x v="0"/>
    <x v="4"/>
    <n v="9"/>
    <n v="80"/>
    <n v="720"/>
    <n v="0.02"/>
    <n v="14.4"/>
    <n v="706"/>
    <x v="11"/>
  </r>
  <r>
    <x v="1026"/>
    <x v="8"/>
    <x v="2"/>
    <x v="2"/>
    <n v="6"/>
    <n v="230"/>
    <n v="1380"/>
    <n v="0.05"/>
    <n v="69"/>
    <n v="1311"/>
    <x v="0"/>
  </r>
  <r>
    <x v="1027"/>
    <x v="8"/>
    <x v="0"/>
    <x v="3"/>
    <n v="14"/>
    <n v="80"/>
    <n v="1120"/>
    <n v="0.05"/>
    <n v="56"/>
    <n v="1064"/>
    <x v="1"/>
  </r>
  <r>
    <x v="1028"/>
    <x v="8"/>
    <x v="3"/>
    <x v="4"/>
    <n v="17"/>
    <n v="16"/>
    <n v="272"/>
    <n v="0.08"/>
    <n v="21.76"/>
    <n v="250"/>
    <x v="2"/>
  </r>
  <r>
    <x v="1029"/>
    <x v="8"/>
    <x v="4"/>
    <x v="1"/>
    <n v="22"/>
    <n v="150"/>
    <n v="3300"/>
    <n v="0.02"/>
    <n v="66"/>
    <n v="3234"/>
    <x v="3"/>
  </r>
  <r>
    <x v="1030"/>
    <x v="8"/>
    <x v="1"/>
    <x v="4"/>
    <n v="17"/>
    <n v="40"/>
    <n v="680"/>
    <n v="0.02"/>
    <n v="13.6"/>
    <n v="666"/>
    <x v="4"/>
  </r>
  <r>
    <x v="1031"/>
    <x v="8"/>
    <x v="0"/>
    <x v="4"/>
    <n v="17"/>
    <n v="80"/>
    <n v="1360"/>
    <n v="7.0000000000000007E-2"/>
    <n v="95.2"/>
    <n v="1265"/>
    <x v="5"/>
  </r>
  <r>
    <x v="1032"/>
    <x v="8"/>
    <x v="4"/>
    <x v="3"/>
    <n v="4"/>
    <n v="150"/>
    <n v="600"/>
    <n v="0.12"/>
    <n v="72"/>
    <n v="528"/>
    <x v="1"/>
  </r>
  <r>
    <x v="1033"/>
    <x v="8"/>
    <x v="3"/>
    <x v="3"/>
    <n v="14"/>
    <n v="16"/>
    <n v="224"/>
    <n v="0.12"/>
    <n v="26.88"/>
    <n v="197"/>
    <x v="2"/>
  </r>
  <r>
    <x v="1034"/>
    <x v="8"/>
    <x v="3"/>
    <x v="0"/>
    <n v="18"/>
    <n v="16"/>
    <n v="288"/>
    <n v="0.11"/>
    <n v="31.68"/>
    <n v="256"/>
    <x v="3"/>
  </r>
  <r>
    <x v="1035"/>
    <x v="8"/>
    <x v="0"/>
    <x v="4"/>
    <n v="22"/>
    <n v="80"/>
    <n v="1760"/>
    <n v="0.09"/>
    <n v="158.4"/>
    <n v="1602"/>
    <x v="4"/>
  </r>
  <r>
    <x v="1036"/>
    <x v="8"/>
    <x v="2"/>
    <x v="1"/>
    <n v="12"/>
    <n v="230"/>
    <n v="2760"/>
    <n v="0.03"/>
    <n v="82.8"/>
    <n v="2677"/>
    <x v="5"/>
  </r>
  <r>
    <x v="1037"/>
    <x v="8"/>
    <x v="1"/>
    <x v="1"/>
    <n v="12"/>
    <n v="40"/>
    <n v="480"/>
    <n v="0.1"/>
    <n v="48"/>
    <n v="432"/>
    <x v="6"/>
  </r>
  <r>
    <x v="1038"/>
    <x v="9"/>
    <x v="1"/>
    <x v="4"/>
    <n v="7"/>
    <n v="40"/>
    <n v="280"/>
    <n v="0.12"/>
    <n v="33.6"/>
    <n v="246"/>
    <x v="7"/>
  </r>
  <r>
    <x v="1039"/>
    <x v="9"/>
    <x v="0"/>
    <x v="0"/>
    <n v="12"/>
    <n v="80"/>
    <n v="960"/>
    <n v="0.04"/>
    <n v="38.4"/>
    <n v="922"/>
    <x v="8"/>
  </r>
  <r>
    <x v="1040"/>
    <x v="9"/>
    <x v="3"/>
    <x v="4"/>
    <n v="17"/>
    <n v="16"/>
    <n v="272"/>
    <n v="0.1"/>
    <n v="27.200000000000003"/>
    <n v="245"/>
    <x v="9"/>
  </r>
  <r>
    <x v="1041"/>
    <x v="9"/>
    <x v="2"/>
    <x v="1"/>
    <n v="6"/>
    <n v="230"/>
    <n v="1380"/>
    <n v="0.1"/>
    <n v="138"/>
    <n v="1242"/>
    <x v="10"/>
  </r>
  <r>
    <x v="1042"/>
    <x v="9"/>
    <x v="1"/>
    <x v="0"/>
    <n v="11"/>
    <n v="40"/>
    <n v="440"/>
    <n v="0.04"/>
    <n v="17.600000000000001"/>
    <n v="422"/>
    <x v="11"/>
  </r>
  <r>
    <x v="1043"/>
    <x v="9"/>
    <x v="3"/>
    <x v="3"/>
    <n v="10"/>
    <n v="16"/>
    <n v="160"/>
    <n v="0.04"/>
    <n v="6.4"/>
    <n v="154"/>
    <x v="0"/>
  </r>
  <r>
    <x v="1044"/>
    <x v="9"/>
    <x v="0"/>
    <x v="0"/>
    <n v="6"/>
    <n v="80"/>
    <n v="480"/>
    <n v="7.0000000000000007E-2"/>
    <n v="33.6"/>
    <n v="446"/>
    <x v="1"/>
  </r>
  <r>
    <x v="1045"/>
    <x v="9"/>
    <x v="1"/>
    <x v="3"/>
    <n v="11"/>
    <n v="40"/>
    <n v="440"/>
    <n v="0.09"/>
    <n v="39.6"/>
    <n v="400"/>
    <x v="2"/>
  </r>
  <r>
    <x v="1046"/>
    <x v="9"/>
    <x v="0"/>
    <x v="4"/>
    <n v="16"/>
    <n v="80"/>
    <n v="1280"/>
    <n v="0.09"/>
    <n v="115.19999999999999"/>
    <n v="1165"/>
    <x v="3"/>
  </r>
  <r>
    <x v="1047"/>
    <x v="9"/>
    <x v="1"/>
    <x v="3"/>
    <n v="13"/>
    <n v="40"/>
    <n v="520"/>
    <n v="0.09"/>
    <n v="46.8"/>
    <n v="473"/>
    <x v="4"/>
  </r>
  <r>
    <x v="1048"/>
    <x v="9"/>
    <x v="2"/>
    <x v="0"/>
    <n v="5"/>
    <n v="230"/>
    <n v="1150"/>
    <n v="0.1"/>
    <n v="115"/>
    <n v="1035"/>
    <x v="5"/>
  </r>
  <r>
    <x v="1049"/>
    <x v="10"/>
    <x v="1"/>
    <x v="4"/>
    <n v="7"/>
    <n v="40"/>
    <n v="280"/>
    <n v="0.05"/>
    <n v="14"/>
    <n v="266"/>
    <x v="1"/>
  </r>
  <r>
    <x v="1050"/>
    <x v="10"/>
    <x v="0"/>
    <x v="2"/>
    <n v="14"/>
    <n v="80"/>
    <n v="1120"/>
    <n v="0.1"/>
    <n v="112"/>
    <n v="1008"/>
    <x v="2"/>
  </r>
  <r>
    <x v="1051"/>
    <x v="10"/>
    <x v="3"/>
    <x v="4"/>
    <n v="12"/>
    <n v="16"/>
    <n v="192"/>
    <n v="0.04"/>
    <n v="7.68"/>
    <n v="184"/>
    <x v="3"/>
  </r>
  <r>
    <x v="1052"/>
    <x v="10"/>
    <x v="2"/>
    <x v="2"/>
    <n v="14"/>
    <n v="230"/>
    <n v="3220"/>
    <n v="0.03"/>
    <n v="96.6"/>
    <n v="3123"/>
    <x v="4"/>
  </r>
  <r>
    <x v="1053"/>
    <x v="10"/>
    <x v="0"/>
    <x v="4"/>
    <n v="21"/>
    <n v="80"/>
    <n v="1680"/>
    <n v="0.09"/>
    <n v="151.19999999999999"/>
    <n v="1529"/>
    <x v="5"/>
  </r>
  <r>
    <x v="1054"/>
    <x v="10"/>
    <x v="2"/>
    <x v="2"/>
    <n v="5"/>
    <n v="230"/>
    <n v="1150"/>
    <n v="0.1"/>
    <n v="115"/>
    <n v="1035"/>
    <x v="6"/>
  </r>
  <r>
    <x v="1055"/>
    <x v="10"/>
    <x v="1"/>
    <x v="4"/>
    <n v="16"/>
    <n v="40"/>
    <n v="640"/>
    <n v="0.09"/>
    <n v="57.599999999999994"/>
    <n v="582"/>
    <x v="7"/>
  </r>
  <r>
    <x v="1056"/>
    <x v="10"/>
    <x v="4"/>
    <x v="1"/>
    <n v="15"/>
    <n v="150"/>
    <n v="2250"/>
    <n v="0.12"/>
    <n v="270"/>
    <n v="1980"/>
    <x v="8"/>
  </r>
  <r>
    <x v="1057"/>
    <x v="10"/>
    <x v="3"/>
    <x v="4"/>
    <n v="23"/>
    <n v="16"/>
    <n v="368"/>
    <n v="0.01"/>
    <n v="3.68"/>
    <n v="364"/>
    <x v="9"/>
  </r>
  <r>
    <x v="1058"/>
    <x v="10"/>
    <x v="3"/>
    <x v="1"/>
    <n v="22"/>
    <n v="16"/>
    <n v="352"/>
    <n v="0.04"/>
    <n v="14.08"/>
    <n v="338"/>
    <x v="10"/>
  </r>
  <r>
    <x v="1059"/>
    <x v="10"/>
    <x v="0"/>
    <x v="0"/>
    <n v="20"/>
    <n v="80"/>
    <n v="1600"/>
    <n v="0.01"/>
    <n v="16"/>
    <n v="1584"/>
    <x v="11"/>
  </r>
  <r>
    <x v="1060"/>
    <x v="10"/>
    <x v="1"/>
    <x v="3"/>
    <n v="6"/>
    <n v="40"/>
    <n v="240"/>
    <n v="7.0000000000000007E-2"/>
    <n v="16.8"/>
    <n v="223"/>
    <x v="0"/>
  </r>
  <r>
    <x v="1061"/>
    <x v="11"/>
    <x v="4"/>
    <x v="1"/>
    <n v="10"/>
    <n v="150"/>
    <n v="1500"/>
    <n v="0.01"/>
    <n v="15"/>
    <n v="1485"/>
    <x v="1"/>
  </r>
  <r>
    <x v="1062"/>
    <x v="11"/>
    <x v="0"/>
    <x v="3"/>
    <n v="17"/>
    <n v="80"/>
    <n v="1360"/>
    <n v="0.05"/>
    <n v="68"/>
    <n v="1292"/>
    <x v="2"/>
  </r>
  <r>
    <x v="1063"/>
    <x v="11"/>
    <x v="4"/>
    <x v="0"/>
    <n v="13"/>
    <n v="150"/>
    <n v="1950"/>
    <n v="0.05"/>
    <n v="97.5"/>
    <n v="1852"/>
    <x v="3"/>
  </r>
  <r>
    <x v="1064"/>
    <x v="11"/>
    <x v="2"/>
    <x v="3"/>
    <n v="8"/>
    <n v="230"/>
    <n v="1840"/>
    <n v="0.05"/>
    <n v="92"/>
    <n v="1748"/>
    <x v="4"/>
  </r>
  <r>
    <x v="1065"/>
    <x v="11"/>
    <x v="3"/>
    <x v="0"/>
    <n v="10"/>
    <n v="16"/>
    <n v="160"/>
    <n v="0.08"/>
    <n v="12.8"/>
    <n v="147"/>
    <x v="5"/>
  </r>
  <r>
    <x v="1066"/>
    <x v="11"/>
    <x v="1"/>
    <x v="1"/>
    <n v="4"/>
    <n v="40"/>
    <n v="160"/>
    <n v="0.06"/>
    <n v="9.6"/>
    <n v="150"/>
    <x v="1"/>
  </r>
  <r>
    <x v="1067"/>
    <x v="11"/>
    <x v="1"/>
    <x v="4"/>
    <n v="18"/>
    <n v="40"/>
    <n v="720"/>
    <n v="0.06"/>
    <n v="43.199999999999996"/>
    <n v="677"/>
    <x v="2"/>
  </r>
  <r>
    <x v="1068"/>
    <x v="11"/>
    <x v="4"/>
    <x v="3"/>
    <n v="15"/>
    <n v="150"/>
    <n v="2250"/>
    <n v="0.05"/>
    <n v="112.5"/>
    <n v="2138"/>
    <x v="3"/>
  </r>
  <r>
    <x v="1069"/>
    <x v="11"/>
    <x v="4"/>
    <x v="3"/>
    <n v="3"/>
    <n v="150"/>
    <n v="450"/>
    <n v="0.01"/>
    <n v="4.5"/>
    <n v="446"/>
    <x v="4"/>
  </r>
  <r>
    <x v="1070"/>
    <x v="11"/>
    <x v="3"/>
    <x v="0"/>
    <n v="12"/>
    <n v="16"/>
    <n v="192"/>
    <n v="0.11"/>
    <n v="21.12"/>
    <n v="171"/>
    <x v="5"/>
  </r>
  <r>
    <x v="1071"/>
    <x v="12"/>
    <x v="0"/>
    <x v="4"/>
    <n v="17"/>
    <n v="80"/>
    <n v="1360"/>
    <n v="7.0000000000000007E-2"/>
    <n v="95.2"/>
    <n v="1265"/>
    <x v="6"/>
  </r>
  <r>
    <x v="1072"/>
    <x v="12"/>
    <x v="2"/>
    <x v="0"/>
    <n v="3"/>
    <n v="230"/>
    <n v="690"/>
    <n v="0.06"/>
    <n v="41.4"/>
    <n v="649"/>
    <x v="7"/>
  </r>
  <r>
    <x v="1073"/>
    <x v="12"/>
    <x v="0"/>
    <x v="2"/>
    <n v="20"/>
    <n v="80"/>
    <n v="1600"/>
    <n v="7.0000000000000007E-2"/>
    <n v="112.00000000000001"/>
    <n v="1488"/>
    <x v="8"/>
  </r>
  <r>
    <x v="1074"/>
    <x v="12"/>
    <x v="2"/>
    <x v="1"/>
    <n v="14"/>
    <n v="230"/>
    <n v="3220"/>
    <n v="0.05"/>
    <n v="161"/>
    <n v="3059"/>
    <x v="9"/>
  </r>
  <r>
    <x v="1075"/>
    <x v="12"/>
    <x v="1"/>
    <x v="4"/>
    <n v="16"/>
    <n v="40"/>
    <n v="640"/>
    <n v="0.09"/>
    <n v="57.599999999999994"/>
    <n v="582"/>
    <x v="10"/>
  </r>
  <r>
    <x v="1076"/>
    <x v="12"/>
    <x v="3"/>
    <x v="1"/>
    <n v="7"/>
    <n v="16"/>
    <n v="112"/>
    <n v="0.08"/>
    <n v="8.9600000000000009"/>
    <n v="103"/>
    <x v="11"/>
  </r>
  <r>
    <x v="1077"/>
    <x v="12"/>
    <x v="1"/>
    <x v="1"/>
    <n v="19"/>
    <n v="40"/>
    <n v="760"/>
    <n v="0.1"/>
    <n v="76"/>
    <n v="684"/>
    <x v="0"/>
  </r>
  <r>
    <x v="1078"/>
    <x v="12"/>
    <x v="2"/>
    <x v="3"/>
    <n v="7"/>
    <n v="230"/>
    <n v="1610"/>
    <n v="0.06"/>
    <n v="96.6"/>
    <n v="1513"/>
    <x v="1"/>
  </r>
  <r>
    <x v="1079"/>
    <x v="12"/>
    <x v="1"/>
    <x v="4"/>
    <n v="20"/>
    <n v="40"/>
    <n v="800"/>
    <n v="0.03"/>
    <n v="24"/>
    <n v="776"/>
    <x v="2"/>
  </r>
  <r>
    <x v="1080"/>
    <x v="12"/>
    <x v="3"/>
    <x v="2"/>
    <n v="11"/>
    <n v="16"/>
    <n v="176"/>
    <n v="0.12"/>
    <n v="21.119999999999997"/>
    <n v="155"/>
    <x v="3"/>
  </r>
  <r>
    <x v="1081"/>
    <x v="12"/>
    <x v="0"/>
    <x v="4"/>
    <n v="16"/>
    <n v="80"/>
    <n v="1280"/>
    <n v="0.09"/>
    <n v="115.19999999999999"/>
    <n v="1165"/>
    <x v="4"/>
  </r>
  <r>
    <x v="1082"/>
    <x v="12"/>
    <x v="3"/>
    <x v="0"/>
    <n v="21"/>
    <n v="16"/>
    <n v="336"/>
    <n v="0.09"/>
    <n v="30.24"/>
    <n v="306"/>
    <x v="5"/>
  </r>
  <r>
    <x v="1083"/>
    <x v="12"/>
    <x v="3"/>
    <x v="0"/>
    <n v="22"/>
    <n v="16"/>
    <n v="352"/>
    <n v="0.01"/>
    <n v="3.52"/>
    <n v="348"/>
    <x v="1"/>
  </r>
  <r>
    <x v="1084"/>
    <x v="12"/>
    <x v="2"/>
    <x v="3"/>
    <n v="23"/>
    <n v="230"/>
    <n v="5290"/>
    <n v="0.06"/>
    <n v="317.39999999999998"/>
    <n v="4973"/>
    <x v="2"/>
  </r>
  <r>
    <x v="1085"/>
    <x v="12"/>
    <x v="4"/>
    <x v="0"/>
    <n v="9"/>
    <n v="150"/>
    <n v="1350"/>
    <n v="0.1"/>
    <n v="135"/>
    <n v="1215"/>
    <x v="3"/>
  </r>
  <r>
    <x v="1086"/>
    <x v="12"/>
    <x v="4"/>
    <x v="2"/>
    <n v="9"/>
    <n v="150"/>
    <n v="1350"/>
    <n v="0.06"/>
    <n v="81"/>
    <n v="1269"/>
    <x v="4"/>
  </r>
  <r>
    <x v="1087"/>
    <x v="13"/>
    <x v="2"/>
    <x v="0"/>
    <n v="9"/>
    <n v="230"/>
    <n v="2070"/>
    <n v="7.0000000000000007E-2"/>
    <n v="144.9"/>
    <n v="1925"/>
    <x v="5"/>
  </r>
  <r>
    <x v="1088"/>
    <x v="13"/>
    <x v="0"/>
    <x v="2"/>
    <n v="10"/>
    <n v="80"/>
    <n v="800"/>
    <n v="0.08"/>
    <n v="64"/>
    <n v="736"/>
    <x v="6"/>
  </r>
  <r>
    <x v="1089"/>
    <x v="13"/>
    <x v="3"/>
    <x v="2"/>
    <n v="23"/>
    <n v="16"/>
    <n v="368"/>
    <n v="0.11"/>
    <n v="40.479999999999997"/>
    <n v="328"/>
    <x v="7"/>
  </r>
  <r>
    <x v="1090"/>
    <x v="13"/>
    <x v="0"/>
    <x v="3"/>
    <n v="22"/>
    <n v="80"/>
    <n v="1760"/>
    <n v="0.03"/>
    <n v="52.8"/>
    <n v="1707"/>
    <x v="8"/>
  </r>
  <r>
    <x v="1091"/>
    <x v="13"/>
    <x v="0"/>
    <x v="3"/>
    <n v="4"/>
    <n v="80"/>
    <n v="320"/>
    <n v="0.11"/>
    <n v="35.200000000000003"/>
    <n v="285"/>
    <x v="9"/>
  </r>
  <r>
    <x v="1092"/>
    <x v="13"/>
    <x v="3"/>
    <x v="0"/>
    <n v="22"/>
    <n v="16"/>
    <n v="352"/>
    <n v="0.06"/>
    <n v="21.119999999999997"/>
    <n v="331"/>
    <x v="10"/>
  </r>
  <r>
    <x v="1093"/>
    <x v="13"/>
    <x v="1"/>
    <x v="1"/>
    <n v="15"/>
    <n v="40"/>
    <n v="600"/>
    <n v="0.02"/>
    <n v="12"/>
    <n v="588"/>
    <x v="11"/>
  </r>
  <r>
    <x v="1094"/>
    <x v="13"/>
    <x v="1"/>
    <x v="4"/>
    <n v="7"/>
    <n v="40"/>
    <n v="280"/>
    <n v="0.04"/>
    <n v="11.200000000000001"/>
    <n v="269"/>
    <x v="0"/>
  </r>
  <r>
    <x v="1095"/>
    <x v="13"/>
    <x v="3"/>
    <x v="4"/>
    <n v="2"/>
    <n v="16"/>
    <n v="32"/>
    <n v="0.04"/>
    <n v="1.28"/>
    <n v="31"/>
    <x v="1"/>
  </r>
  <r>
    <x v="1096"/>
    <x v="13"/>
    <x v="0"/>
    <x v="3"/>
    <n v="7"/>
    <n v="80"/>
    <n v="560"/>
    <n v="0.02"/>
    <n v="11.200000000000001"/>
    <n v="549"/>
    <x v="2"/>
  </r>
  <r>
    <x v="1097"/>
    <x v="14"/>
    <x v="3"/>
    <x v="4"/>
    <n v="22"/>
    <n v="16"/>
    <n v="352"/>
    <n v="0.12"/>
    <n v="42.239999999999995"/>
    <n v="310"/>
    <x v="3"/>
  </r>
  <r>
    <x v="1098"/>
    <x v="14"/>
    <x v="1"/>
    <x v="1"/>
    <n v="21"/>
    <n v="40"/>
    <n v="840"/>
    <n v="0.03"/>
    <n v="25.2"/>
    <n v="815"/>
    <x v="4"/>
  </r>
  <r>
    <x v="1099"/>
    <x v="14"/>
    <x v="0"/>
    <x v="0"/>
    <n v="6"/>
    <n v="80"/>
    <n v="480"/>
    <n v="0.01"/>
    <n v="4.8"/>
    <n v="475"/>
    <x v="5"/>
  </r>
  <r>
    <x v="1100"/>
    <x v="14"/>
    <x v="0"/>
    <x v="4"/>
    <n v="13"/>
    <n v="80"/>
    <n v="1040"/>
    <n v="0.05"/>
    <n v="52"/>
    <n v="988"/>
    <x v="1"/>
  </r>
  <r>
    <x v="1101"/>
    <x v="14"/>
    <x v="0"/>
    <x v="3"/>
    <n v="11"/>
    <n v="80"/>
    <n v="880"/>
    <n v="0.01"/>
    <n v="8.8000000000000007"/>
    <n v="871"/>
    <x v="2"/>
  </r>
  <r>
    <x v="1102"/>
    <x v="14"/>
    <x v="1"/>
    <x v="0"/>
    <n v="18"/>
    <n v="40"/>
    <n v="720"/>
    <n v="0.06"/>
    <n v="43.199999999999996"/>
    <n v="677"/>
    <x v="3"/>
  </r>
  <r>
    <x v="1103"/>
    <x v="14"/>
    <x v="4"/>
    <x v="3"/>
    <n v="7"/>
    <n v="150"/>
    <n v="1050"/>
    <n v="0.05"/>
    <n v="52.5"/>
    <n v="998"/>
    <x v="4"/>
  </r>
  <r>
    <x v="1104"/>
    <x v="14"/>
    <x v="1"/>
    <x v="0"/>
    <n v="2"/>
    <n v="40"/>
    <n v="80"/>
    <n v="0.12"/>
    <n v="9.6"/>
    <n v="70"/>
    <x v="5"/>
  </r>
  <r>
    <x v="1105"/>
    <x v="14"/>
    <x v="0"/>
    <x v="1"/>
    <n v="14"/>
    <n v="80"/>
    <n v="1120"/>
    <n v="0.06"/>
    <n v="67.2"/>
    <n v="1053"/>
    <x v="6"/>
  </r>
  <r>
    <x v="1106"/>
    <x v="14"/>
    <x v="4"/>
    <x v="4"/>
    <n v="7"/>
    <n v="150"/>
    <n v="1050"/>
    <n v="0.03"/>
    <n v="31.5"/>
    <n v="1018"/>
    <x v="7"/>
  </r>
  <r>
    <x v="1107"/>
    <x v="14"/>
    <x v="3"/>
    <x v="3"/>
    <n v="10"/>
    <n v="16"/>
    <n v="160"/>
    <n v="0.01"/>
    <n v="1.6"/>
    <n v="158"/>
    <x v="8"/>
  </r>
  <r>
    <x v="1108"/>
    <x v="15"/>
    <x v="1"/>
    <x v="1"/>
    <n v="7"/>
    <n v="40"/>
    <n v="280"/>
    <n v="0.01"/>
    <n v="2.8000000000000003"/>
    <n v="277"/>
    <x v="9"/>
  </r>
  <r>
    <x v="1109"/>
    <x v="15"/>
    <x v="3"/>
    <x v="3"/>
    <n v="7"/>
    <n v="16"/>
    <n v="112"/>
    <n v="0.08"/>
    <n v="8.9600000000000009"/>
    <n v="103"/>
    <x v="10"/>
  </r>
  <r>
    <x v="1110"/>
    <x v="15"/>
    <x v="4"/>
    <x v="2"/>
    <n v="15"/>
    <n v="150"/>
    <n v="2250"/>
    <n v="0.05"/>
    <n v="112.5"/>
    <n v="2138"/>
    <x v="11"/>
  </r>
  <r>
    <x v="1111"/>
    <x v="15"/>
    <x v="0"/>
    <x v="0"/>
    <n v="7"/>
    <n v="80"/>
    <n v="560"/>
    <n v="0.02"/>
    <n v="11.200000000000001"/>
    <n v="549"/>
    <x v="0"/>
  </r>
  <r>
    <x v="1112"/>
    <x v="15"/>
    <x v="1"/>
    <x v="2"/>
    <n v="6"/>
    <n v="40"/>
    <n v="240"/>
    <n v="0.06"/>
    <n v="14.399999999999999"/>
    <n v="226"/>
    <x v="1"/>
  </r>
  <r>
    <x v="1113"/>
    <x v="15"/>
    <x v="2"/>
    <x v="0"/>
    <n v="3"/>
    <n v="230"/>
    <n v="690"/>
    <n v="0.06"/>
    <n v="41.4"/>
    <n v="649"/>
    <x v="2"/>
  </r>
  <r>
    <x v="1114"/>
    <x v="15"/>
    <x v="4"/>
    <x v="2"/>
    <n v="20"/>
    <n v="150"/>
    <n v="3000"/>
    <n v="0.04"/>
    <n v="120"/>
    <n v="2880"/>
    <x v="3"/>
  </r>
  <r>
    <x v="1115"/>
    <x v="15"/>
    <x v="2"/>
    <x v="2"/>
    <n v="20"/>
    <n v="230"/>
    <n v="4600"/>
    <n v="0.06"/>
    <n v="276"/>
    <n v="4324"/>
    <x v="4"/>
  </r>
  <r>
    <x v="1116"/>
    <x v="15"/>
    <x v="3"/>
    <x v="2"/>
    <n v="14"/>
    <n v="16"/>
    <n v="224"/>
    <n v="0.01"/>
    <n v="2.2400000000000002"/>
    <n v="222"/>
    <x v="5"/>
  </r>
  <r>
    <x v="1117"/>
    <x v="15"/>
    <x v="4"/>
    <x v="2"/>
    <n v="20"/>
    <n v="150"/>
    <n v="3000"/>
    <n v="0.04"/>
    <n v="120"/>
    <n v="2880"/>
    <x v="1"/>
  </r>
  <r>
    <x v="1118"/>
    <x v="15"/>
    <x v="0"/>
    <x v="0"/>
    <n v="17"/>
    <n v="80"/>
    <n v="1360"/>
    <n v="0.09"/>
    <n v="122.39999999999999"/>
    <n v="1238"/>
    <x v="2"/>
  </r>
  <r>
    <x v="1119"/>
    <x v="16"/>
    <x v="4"/>
    <x v="2"/>
    <n v="20"/>
    <n v="150"/>
    <n v="3000"/>
    <n v="0.12"/>
    <n v="360"/>
    <n v="2640"/>
    <x v="3"/>
  </r>
  <r>
    <x v="1120"/>
    <x v="16"/>
    <x v="3"/>
    <x v="2"/>
    <n v="11"/>
    <n v="16"/>
    <n v="176"/>
    <n v="0.04"/>
    <n v="7.04"/>
    <n v="169"/>
    <x v="4"/>
  </r>
  <r>
    <x v="1121"/>
    <x v="16"/>
    <x v="2"/>
    <x v="4"/>
    <n v="7"/>
    <n v="230"/>
    <n v="1610"/>
    <n v="0.05"/>
    <n v="80.5"/>
    <n v="1530"/>
    <x v="5"/>
  </r>
  <r>
    <x v="1122"/>
    <x v="16"/>
    <x v="1"/>
    <x v="1"/>
    <n v="14"/>
    <n v="40"/>
    <n v="560"/>
    <n v="0.06"/>
    <n v="33.6"/>
    <n v="526"/>
    <x v="6"/>
  </r>
  <r>
    <x v="1123"/>
    <x v="16"/>
    <x v="0"/>
    <x v="1"/>
    <n v="13"/>
    <n v="80"/>
    <n v="1040"/>
    <n v="0.06"/>
    <n v="62.4"/>
    <n v="978"/>
    <x v="7"/>
  </r>
  <r>
    <x v="1124"/>
    <x v="16"/>
    <x v="3"/>
    <x v="2"/>
    <n v="17"/>
    <n v="16"/>
    <n v="272"/>
    <n v="0.05"/>
    <n v="13.600000000000001"/>
    <n v="258"/>
    <x v="8"/>
  </r>
  <r>
    <x v="1125"/>
    <x v="16"/>
    <x v="2"/>
    <x v="2"/>
    <n v="12"/>
    <n v="230"/>
    <n v="2760"/>
    <n v="0.03"/>
    <n v="82.8"/>
    <n v="2677"/>
    <x v="9"/>
  </r>
  <r>
    <x v="1126"/>
    <x v="16"/>
    <x v="1"/>
    <x v="1"/>
    <n v="4"/>
    <n v="40"/>
    <n v="160"/>
    <n v="0.12"/>
    <n v="19.2"/>
    <n v="141"/>
    <x v="10"/>
  </r>
  <r>
    <x v="1127"/>
    <x v="16"/>
    <x v="3"/>
    <x v="0"/>
    <n v="20"/>
    <n v="16"/>
    <n v="320"/>
    <n v="0.01"/>
    <n v="3.2"/>
    <n v="317"/>
    <x v="11"/>
  </r>
  <r>
    <x v="1128"/>
    <x v="16"/>
    <x v="0"/>
    <x v="3"/>
    <n v="8"/>
    <n v="80"/>
    <n v="640"/>
    <n v="0.06"/>
    <n v="38.4"/>
    <n v="602"/>
    <x v="0"/>
  </r>
  <r>
    <x v="1129"/>
    <x v="16"/>
    <x v="0"/>
    <x v="0"/>
    <n v="18"/>
    <n v="80"/>
    <n v="1440"/>
    <n v="0.02"/>
    <n v="28.8"/>
    <n v="1411"/>
    <x v="1"/>
  </r>
  <r>
    <x v="1130"/>
    <x v="16"/>
    <x v="3"/>
    <x v="2"/>
    <n v="6"/>
    <n v="16"/>
    <n v="96"/>
    <n v="0.06"/>
    <n v="5.76"/>
    <n v="90"/>
    <x v="2"/>
  </r>
  <r>
    <x v="1131"/>
    <x v="16"/>
    <x v="0"/>
    <x v="0"/>
    <n v="9"/>
    <n v="80"/>
    <n v="720"/>
    <n v="0.04"/>
    <n v="28.8"/>
    <n v="691"/>
    <x v="3"/>
  </r>
  <r>
    <x v="1132"/>
    <x v="17"/>
    <x v="0"/>
    <x v="2"/>
    <n v="8"/>
    <n v="80"/>
    <n v="640"/>
    <n v="0.02"/>
    <n v="12.8"/>
    <n v="627"/>
    <x v="4"/>
  </r>
  <r>
    <x v="1133"/>
    <x v="17"/>
    <x v="4"/>
    <x v="3"/>
    <n v="6"/>
    <n v="150"/>
    <n v="900"/>
    <n v="0.03"/>
    <n v="27"/>
    <n v="873"/>
    <x v="5"/>
  </r>
  <r>
    <x v="1134"/>
    <x v="17"/>
    <x v="3"/>
    <x v="3"/>
    <n v="14"/>
    <n v="16"/>
    <n v="224"/>
    <n v="0.12"/>
    <n v="26.88"/>
    <n v="197"/>
    <x v="1"/>
  </r>
  <r>
    <x v="1135"/>
    <x v="17"/>
    <x v="0"/>
    <x v="2"/>
    <n v="6"/>
    <n v="80"/>
    <n v="480"/>
    <n v="0.09"/>
    <n v="43.199999999999996"/>
    <n v="437"/>
    <x v="2"/>
  </r>
  <r>
    <x v="1136"/>
    <x v="17"/>
    <x v="1"/>
    <x v="4"/>
    <n v="23"/>
    <n v="40"/>
    <n v="920"/>
    <n v="0.04"/>
    <n v="36.800000000000004"/>
    <n v="883"/>
    <x v="3"/>
  </r>
  <r>
    <x v="1137"/>
    <x v="17"/>
    <x v="1"/>
    <x v="2"/>
    <n v="12"/>
    <n v="40"/>
    <n v="480"/>
    <n v="0.02"/>
    <n v="9.6"/>
    <n v="470"/>
    <x v="4"/>
  </r>
  <r>
    <x v="1138"/>
    <x v="17"/>
    <x v="1"/>
    <x v="3"/>
    <n v="22"/>
    <n v="40"/>
    <n v="880"/>
    <n v="0.01"/>
    <n v="8.8000000000000007"/>
    <n v="871"/>
    <x v="5"/>
  </r>
  <r>
    <x v="1139"/>
    <x v="17"/>
    <x v="4"/>
    <x v="3"/>
    <n v="6"/>
    <n v="150"/>
    <n v="900"/>
    <n v="0.03"/>
    <n v="27"/>
    <n v="873"/>
    <x v="6"/>
  </r>
  <r>
    <x v="1140"/>
    <x v="17"/>
    <x v="3"/>
    <x v="4"/>
    <n v="19"/>
    <n v="16"/>
    <n v="304"/>
    <n v="0.02"/>
    <n v="6.08"/>
    <n v="298"/>
    <x v="7"/>
  </r>
  <r>
    <x v="1141"/>
    <x v="17"/>
    <x v="1"/>
    <x v="2"/>
    <n v="2"/>
    <n v="40"/>
    <n v="80"/>
    <n v="0.02"/>
    <n v="1.6"/>
    <n v="78"/>
    <x v="8"/>
  </r>
  <r>
    <x v="1142"/>
    <x v="18"/>
    <x v="1"/>
    <x v="3"/>
    <n v="22"/>
    <n v="40"/>
    <n v="880"/>
    <n v="0.01"/>
    <n v="8.8000000000000007"/>
    <n v="871"/>
    <x v="9"/>
  </r>
  <r>
    <x v="1143"/>
    <x v="18"/>
    <x v="2"/>
    <x v="3"/>
    <n v="3"/>
    <n v="230"/>
    <n v="690"/>
    <n v="0.01"/>
    <n v="6.9"/>
    <n v="683"/>
    <x v="10"/>
  </r>
  <r>
    <x v="1144"/>
    <x v="18"/>
    <x v="1"/>
    <x v="3"/>
    <n v="23"/>
    <n v="40"/>
    <n v="920"/>
    <n v="0.06"/>
    <n v="55.199999999999996"/>
    <n v="865"/>
    <x v="11"/>
  </r>
  <r>
    <x v="1145"/>
    <x v="18"/>
    <x v="1"/>
    <x v="4"/>
    <n v="5"/>
    <n v="40"/>
    <n v="200"/>
    <n v="0.03"/>
    <n v="6"/>
    <n v="194"/>
    <x v="0"/>
  </r>
  <r>
    <x v="1146"/>
    <x v="18"/>
    <x v="0"/>
    <x v="0"/>
    <n v="8"/>
    <n v="80"/>
    <n v="640"/>
    <n v="0.08"/>
    <n v="51.2"/>
    <n v="589"/>
    <x v="1"/>
  </r>
  <r>
    <x v="1147"/>
    <x v="18"/>
    <x v="1"/>
    <x v="2"/>
    <n v="18"/>
    <n v="40"/>
    <n v="720"/>
    <n v="0.03"/>
    <n v="21.599999999999998"/>
    <n v="698"/>
    <x v="2"/>
  </r>
  <r>
    <x v="1148"/>
    <x v="18"/>
    <x v="1"/>
    <x v="4"/>
    <n v="20"/>
    <n v="40"/>
    <n v="800"/>
    <n v="0.1"/>
    <n v="80"/>
    <n v="720"/>
    <x v="3"/>
  </r>
  <r>
    <x v="1149"/>
    <x v="18"/>
    <x v="1"/>
    <x v="2"/>
    <n v="2"/>
    <n v="40"/>
    <n v="80"/>
    <n v="0.03"/>
    <n v="2.4"/>
    <n v="78"/>
    <x v="4"/>
  </r>
  <r>
    <x v="1150"/>
    <x v="18"/>
    <x v="2"/>
    <x v="0"/>
    <n v="15"/>
    <n v="230"/>
    <n v="3450"/>
    <n v="0.05"/>
    <n v="172.5"/>
    <n v="3278"/>
    <x v="5"/>
  </r>
  <r>
    <x v="1151"/>
    <x v="18"/>
    <x v="4"/>
    <x v="3"/>
    <n v="15"/>
    <n v="150"/>
    <n v="2250"/>
    <n v="0.08"/>
    <n v="180"/>
    <n v="2070"/>
    <x v="1"/>
  </r>
  <r>
    <x v="1152"/>
    <x v="18"/>
    <x v="4"/>
    <x v="3"/>
    <n v="22"/>
    <n v="150"/>
    <n v="3300"/>
    <n v="0.05"/>
    <n v="165"/>
    <n v="3135"/>
    <x v="2"/>
  </r>
  <r>
    <x v="1153"/>
    <x v="18"/>
    <x v="2"/>
    <x v="1"/>
    <n v="19"/>
    <n v="230"/>
    <n v="4370"/>
    <n v="0.11"/>
    <n v="480.7"/>
    <n v="3889"/>
    <x v="3"/>
  </r>
  <r>
    <x v="1154"/>
    <x v="18"/>
    <x v="0"/>
    <x v="1"/>
    <n v="10"/>
    <n v="80"/>
    <n v="800"/>
    <n v="0.11"/>
    <n v="88"/>
    <n v="712"/>
    <x v="4"/>
  </r>
  <r>
    <x v="1155"/>
    <x v="18"/>
    <x v="1"/>
    <x v="3"/>
    <n v="18"/>
    <n v="40"/>
    <n v="720"/>
    <n v="0.06"/>
    <n v="43.199999999999996"/>
    <n v="677"/>
    <x v="5"/>
  </r>
  <r>
    <x v="1156"/>
    <x v="18"/>
    <x v="0"/>
    <x v="3"/>
    <n v="16"/>
    <n v="80"/>
    <n v="1280"/>
    <n v="0.05"/>
    <n v="64"/>
    <n v="1216"/>
    <x v="6"/>
  </r>
  <r>
    <x v="1157"/>
    <x v="18"/>
    <x v="4"/>
    <x v="4"/>
    <n v="17"/>
    <n v="150"/>
    <n v="2550"/>
    <n v="0.02"/>
    <n v="51"/>
    <n v="2499"/>
    <x v="7"/>
  </r>
  <r>
    <x v="1158"/>
    <x v="19"/>
    <x v="2"/>
    <x v="0"/>
    <n v="8"/>
    <n v="230"/>
    <n v="1840"/>
    <n v="0.03"/>
    <n v="55.199999999999996"/>
    <n v="1785"/>
    <x v="8"/>
  </r>
  <r>
    <x v="1159"/>
    <x v="19"/>
    <x v="0"/>
    <x v="3"/>
    <n v="11"/>
    <n v="80"/>
    <n v="880"/>
    <n v="0.01"/>
    <n v="8.8000000000000007"/>
    <n v="871"/>
    <x v="9"/>
  </r>
  <r>
    <x v="1160"/>
    <x v="19"/>
    <x v="1"/>
    <x v="0"/>
    <n v="5"/>
    <n v="40"/>
    <n v="200"/>
    <n v="0.06"/>
    <n v="12"/>
    <n v="188"/>
    <x v="10"/>
  </r>
  <r>
    <x v="1161"/>
    <x v="19"/>
    <x v="1"/>
    <x v="4"/>
    <n v="11"/>
    <n v="40"/>
    <n v="440"/>
    <n v="0.05"/>
    <n v="22"/>
    <n v="418"/>
    <x v="11"/>
  </r>
  <r>
    <x v="1162"/>
    <x v="19"/>
    <x v="4"/>
    <x v="3"/>
    <n v="20"/>
    <n v="150"/>
    <n v="3000"/>
    <n v="0.1"/>
    <n v="300"/>
    <n v="2700"/>
    <x v="0"/>
  </r>
  <r>
    <x v="1163"/>
    <x v="19"/>
    <x v="4"/>
    <x v="2"/>
    <n v="11"/>
    <n v="150"/>
    <n v="1650"/>
    <n v="0.11"/>
    <n v="181.5"/>
    <n v="1468"/>
    <x v="1"/>
  </r>
  <r>
    <x v="1164"/>
    <x v="19"/>
    <x v="0"/>
    <x v="3"/>
    <n v="2"/>
    <n v="80"/>
    <n v="160"/>
    <n v="0.08"/>
    <n v="12.8"/>
    <n v="147"/>
    <x v="2"/>
  </r>
  <r>
    <x v="1165"/>
    <x v="19"/>
    <x v="4"/>
    <x v="1"/>
    <n v="16"/>
    <n v="150"/>
    <n v="2400"/>
    <n v="0.08"/>
    <n v="192"/>
    <n v="2208"/>
    <x v="3"/>
  </r>
  <r>
    <x v="1166"/>
    <x v="19"/>
    <x v="3"/>
    <x v="0"/>
    <n v="20"/>
    <n v="16"/>
    <n v="320"/>
    <n v="0.11"/>
    <n v="35.200000000000003"/>
    <n v="285"/>
    <x v="4"/>
  </r>
  <r>
    <x v="1167"/>
    <x v="19"/>
    <x v="2"/>
    <x v="2"/>
    <n v="2"/>
    <n v="230"/>
    <n v="460"/>
    <n v="0.09"/>
    <n v="41.4"/>
    <n v="419"/>
    <x v="5"/>
  </r>
  <r>
    <x v="1168"/>
    <x v="19"/>
    <x v="4"/>
    <x v="0"/>
    <n v="20"/>
    <n v="150"/>
    <n v="3000"/>
    <n v="0.04"/>
    <n v="120"/>
    <n v="2880"/>
    <x v="1"/>
  </r>
  <r>
    <x v="1169"/>
    <x v="19"/>
    <x v="4"/>
    <x v="0"/>
    <n v="22"/>
    <n v="150"/>
    <n v="3300"/>
    <n v="7.0000000000000007E-2"/>
    <n v="231.00000000000003"/>
    <n v="3069"/>
    <x v="2"/>
  </r>
  <r>
    <x v="1170"/>
    <x v="19"/>
    <x v="4"/>
    <x v="2"/>
    <n v="22"/>
    <n v="150"/>
    <n v="3300"/>
    <n v="0.04"/>
    <n v="132"/>
    <n v="3168"/>
    <x v="3"/>
  </r>
  <r>
    <x v="1171"/>
    <x v="19"/>
    <x v="1"/>
    <x v="0"/>
    <n v="23"/>
    <n v="40"/>
    <n v="920"/>
    <n v="7.0000000000000007E-2"/>
    <n v="64.400000000000006"/>
    <n v="856"/>
    <x v="4"/>
  </r>
  <r>
    <x v="1172"/>
    <x v="20"/>
    <x v="3"/>
    <x v="2"/>
    <n v="11"/>
    <n v="16"/>
    <n v="176"/>
    <n v="0.04"/>
    <n v="7.04"/>
    <n v="169"/>
    <x v="5"/>
  </r>
  <r>
    <x v="1173"/>
    <x v="20"/>
    <x v="2"/>
    <x v="1"/>
    <n v="11"/>
    <n v="230"/>
    <n v="2530"/>
    <n v="0.1"/>
    <n v="253"/>
    <n v="2277"/>
    <x v="6"/>
  </r>
  <r>
    <x v="1174"/>
    <x v="20"/>
    <x v="2"/>
    <x v="0"/>
    <n v="7"/>
    <n v="230"/>
    <n v="1610"/>
    <n v="0.08"/>
    <n v="128.80000000000001"/>
    <n v="1481"/>
    <x v="7"/>
  </r>
  <r>
    <x v="1175"/>
    <x v="20"/>
    <x v="2"/>
    <x v="3"/>
    <n v="16"/>
    <n v="230"/>
    <n v="3680"/>
    <n v="0.11"/>
    <n v="404.8"/>
    <n v="3275"/>
    <x v="9"/>
  </r>
  <r>
    <x v="1176"/>
    <x v="20"/>
    <x v="2"/>
    <x v="4"/>
    <n v="20"/>
    <n v="230"/>
    <n v="4600"/>
    <n v="0.09"/>
    <n v="414"/>
    <n v="4186"/>
    <x v="10"/>
  </r>
  <r>
    <x v="1177"/>
    <x v="20"/>
    <x v="1"/>
    <x v="2"/>
    <n v="20"/>
    <n v="40"/>
    <n v="800"/>
    <n v="0.01"/>
    <n v="8"/>
    <n v="792"/>
    <x v="11"/>
  </r>
  <r>
    <x v="1178"/>
    <x v="20"/>
    <x v="0"/>
    <x v="0"/>
    <n v="20"/>
    <n v="80"/>
    <n v="1600"/>
    <n v="0.01"/>
    <n v="16"/>
    <n v="1584"/>
    <x v="0"/>
  </r>
  <r>
    <x v="1179"/>
    <x v="20"/>
    <x v="4"/>
    <x v="0"/>
    <n v="5"/>
    <n v="150"/>
    <n v="750"/>
    <n v="0.11"/>
    <n v="82.5"/>
    <n v="668"/>
    <x v="1"/>
  </r>
  <r>
    <x v="1180"/>
    <x v="21"/>
    <x v="1"/>
    <x v="2"/>
    <n v="4"/>
    <n v="40"/>
    <n v="160"/>
    <n v="0.11"/>
    <n v="17.600000000000001"/>
    <n v="142"/>
    <x v="2"/>
  </r>
  <r>
    <x v="1181"/>
    <x v="21"/>
    <x v="3"/>
    <x v="0"/>
    <n v="7"/>
    <n v="16"/>
    <n v="112"/>
    <n v="0.12"/>
    <n v="13.44"/>
    <n v="99"/>
    <x v="3"/>
  </r>
  <r>
    <x v="1182"/>
    <x v="21"/>
    <x v="3"/>
    <x v="1"/>
    <n v="22"/>
    <n v="16"/>
    <n v="352"/>
    <n v="0.01"/>
    <n v="3.52"/>
    <n v="348"/>
    <x v="4"/>
  </r>
  <r>
    <x v="1183"/>
    <x v="21"/>
    <x v="1"/>
    <x v="3"/>
    <n v="15"/>
    <n v="40"/>
    <n v="600"/>
    <n v="0.03"/>
    <n v="18"/>
    <n v="582"/>
    <x v="5"/>
  </r>
  <r>
    <x v="1184"/>
    <x v="21"/>
    <x v="0"/>
    <x v="1"/>
    <n v="14"/>
    <n v="80"/>
    <n v="1120"/>
    <n v="0.11"/>
    <n v="123.2"/>
    <n v="997"/>
    <x v="1"/>
  </r>
  <r>
    <x v="1185"/>
    <x v="21"/>
    <x v="3"/>
    <x v="1"/>
    <n v="15"/>
    <n v="16"/>
    <n v="240"/>
    <n v="0.02"/>
    <n v="4.8"/>
    <n v="235"/>
    <x v="2"/>
  </r>
  <r>
    <x v="1186"/>
    <x v="22"/>
    <x v="0"/>
    <x v="3"/>
    <n v="19"/>
    <n v="80"/>
    <n v="1520"/>
    <n v="0.02"/>
    <n v="30.400000000000002"/>
    <n v="1490"/>
    <x v="3"/>
  </r>
  <r>
    <x v="1187"/>
    <x v="22"/>
    <x v="1"/>
    <x v="4"/>
    <n v="20"/>
    <n v="40"/>
    <n v="800"/>
    <n v="0.05"/>
    <n v="40"/>
    <n v="760"/>
    <x v="4"/>
  </r>
  <r>
    <x v="1188"/>
    <x v="22"/>
    <x v="1"/>
    <x v="3"/>
    <n v="11"/>
    <n v="40"/>
    <n v="440"/>
    <n v="0.06"/>
    <n v="26.4"/>
    <n v="414"/>
    <x v="5"/>
  </r>
  <r>
    <x v="1189"/>
    <x v="22"/>
    <x v="4"/>
    <x v="2"/>
    <n v="11"/>
    <n v="150"/>
    <n v="1650"/>
    <n v="0.05"/>
    <n v="82.5"/>
    <n v="1568"/>
    <x v="6"/>
  </r>
  <r>
    <x v="1190"/>
    <x v="22"/>
    <x v="0"/>
    <x v="3"/>
    <n v="23"/>
    <n v="80"/>
    <n v="1840"/>
    <n v="0.11"/>
    <n v="202.4"/>
    <n v="1638"/>
    <x v="7"/>
  </r>
  <r>
    <x v="1191"/>
    <x v="22"/>
    <x v="0"/>
    <x v="0"/>
    <n v="8"/>
    <n v="80"/>
    <n v="640"/>
    <n v="0.09"/>
    <n v="57.599999999999994"/>
    <n v="582"/>
    <x v="8"/>
  </r>
  <r>
    <x v="1192"/>
    <x v="22"/>
    <x v="1"/>
    <x v="3"/>
    <n v="9"/>
    <n v="40"/>
    <n v="360"/>
    <n v="0.06"/>
    <n v="21.599999999999998"/>
    <n v="338"/>
    <x v="9"/>
  </r>
  <r>
    <x v="1193"/>
    <x v="22"/>
    <x v="2"/>
    <x v="4"/>
    <n v="13"/>
    <n v="230"/>
    <n v="2990"/>
    <n v="0.06"/>
    <n v="179.4"/>
    <n v="2811"/>
    <x v="10"/>
  </r>
  <r>
    <x v="1194"/>
    <x v="22"/>
    <x v="1"/>
    <x v="3"/>
    <n v="22"/>
    <n v="40"/>
    <n v="880"/>
    <n v="0.01"/>
    <n v="8.8000000000000007"/>
    <n v="871"/>
    <x v="11"/>
  </r>
  <r>
    <x v="1195"/>
    <x v="22"/>
    <x v="3"/>
    <x v="4"/>
    <n v="14"/>
    <n v="16"/>
    <n v="224"/>
    <n v="0.06"/>
    <n v="13.44"/>
    <n v="211"/>
    <x v="0"/>
  </r>
  <r>
    <x v="1196"/>
    <x v="23"/>
    <x v="0"/>
    <x v="1"/>
    <n v="5"/>
    <n v="80"/>
    <n v="400"/>
    <n v="0.04"/>
    <n v="16"/>
    <n v="384"/>
    <x v="1"/>
  </r>
  <r>
    <x v="1197"/>
    <x v="23"/>
    <x v="4"/>
    <x v="4"/>
    <n v="18"/>
    <n v="150"/>
    <n v="2700"/>
    <n v="0.12"/>
    <n v="324"/>
    <n v="2376"/>
    <x v="2"/>
  </r>
  <r>
    <x v="1198"/>
    <x v="23"/>
    <x v="2"/>
    <x v="2"/>
    <n v="14"/>
    <n v="230"/>
    <n v="3220"/>
    <n v="0.12"/>
    <n v="386.4"/>
    <n v="2834"/>
    <x v="3"/>
  </r>
  <r>
    <x v="1199"/>
    <x v="23"/>
    <x v="2"/>
    <x v="4"/>
    <n v="20"/>
    <n v="230"/>
    <n v="4600"/>
    <n v="0.11"/>
    <n v="506"/>
    <n v="4094"/>
    <x v="4"/>
  </r>
  <r>
    <x v="1200"/>
    <x v="23"/>
    <x v="3"/>
    <x v="4"/>
    <n v="3"/>
    <n v="16"/>
    <n v="48"/>
    <n v="0.03"/>
    <n v="1.44"/>
    <n v="47"/>
    <x v="5"/>
  </r>
  <r>
    <x v="1201"/>
    <x v="23"/>
    <x v="2"/>
    <x v="2"/>
    <n v="20"/>
    <n v="230"/>
    <n v="4600"/>
    <n v="0.06"/>
    <n v="276"/>
    <n v="4324"/>
    <x v="1"/>
  </r>
  <r>
    <x v="1202"/>
    <x v="23"/>
    <x v="0"/>
    <x v="4"/>
    <n v="9"/>
    <n v="80"/>
    <n v="720"/>
    <n v="0.02"/>
    <n v="14.4"/>
    <n v="706"/>
    <x v="2"/>
  </r>
  <r>
    <x v="1203"/>
    <x v="23"/>
    <x v="3"/>
    <x v="3"/>
    <n v="22"/>
    <n v="16"/>
    <n v="352"/>
    <n v="0.03"/>
    <n v="10.559999999999999"/>
    <n v="341"/>
    <x v="3"/>
  </r>
  <r>
    <x v="1204"/>
    <x v="23"/>
    <x v="0"/>
    <x v="1"/>
    <n v="15"/>
    <n v="80"/>
    <n v="1200"/>
    <n v="0.12"/>
    <n v="144"/>
    <n v="1056"/>
    <x v="4"/>
  </r>
  <r>
    <x v="1205"/>
    <x v="23"/>
    <x v="4"/>
    <x v="0"/>
    <n v="11"/>
    <n v="150"/>
    <n v="1650"/>
    <n v="0.05"/>
    <n v="82.5"/>
    <n v="1568"/>
    <x v="5"/>
  </r>
  <r>
    <x v="1206"/>
    <x v="23"/>
    <x v="2"/>
    <x v="3"/>
    <n v="11"/>
    <n v="230"/>
    <n v="2530"/>
    <n v="0.12"/>
    <n v="303.59999999999997"/>
    <n v="2226"/>
    <x v="6"/>
  </r>
  <r>
    <x v="1207"/>
    <x v="23"/>
    <x v="4"/>
    <x v="0"/>
    <n v="20"/>
    <n v="150"/>
    <n v="3000"/>
    <n v="0.01"/>
    <n v="30"/>
    <n v="2970"/>
    <x v="7"/>
  </r>
  <r>
    <x v="1208"/>
    <x v="23"/>
    <x v="1"/>
    <x v="2"/>
    <n v="11"/>
    <n v="40"/>
    <n v="440"/>
    <n v="0.12"/>
    <n v="52.8"/>
    <n v="387"/>
    <x v="8"/>
  </r>
  <r>
    <x v="1209"/>
    <x v="24"/>
    <x v="2"/>
    <x v="2"/>
    <n v="12"/>
    <n v="230"/>
    <n v="2760"/>
    <n v="0.06"/>
    <n v="165.6"/>
    <n v="2594"/>
    <x v="9"/>
  </r>
  <r>
    <x v="1210"/>
    <x v="24"/>
    <x v="1"/>
    <x v="0"/>
    <n v="15"/>
    <n v="40"/>
    <n v="600"/>
    <n v="0.06"/>
    <n v="36"/>
    <n v="564"/>
    <x v="10"/>
  </r>
  <r>
    <x v="1211"/>
    <x v="24"/>
    <x v="1"/>
    <x v="3"/>
    <n v="13"/>
    <n v="40"/>
    <n v="520"/>
    <n v="0.09"/>
    <n v="46.8"/>
    <n v="473"/>
    <x v="11"/>
  </r>
  <r>
    <x v="1212"/>
    <x v="24"/>
    <x v="1"/>
    <x v="4"/>
    <n v="4"/>
    <n v="40"/>
    <n v="160"/>
    <n v="0.09"/>
    <n v="14.399999999999999"/>
    <n v="146"/>
    <x v="0"/>
  </r>
  <r>
    <x v="1213"/>
    <x v="24"/>
    <x v="2"/>
    <x v="3"/>
    <n v="18"/>
    <n v="230"/>
    <n v="4140"/>
    <n v="0.01"/>
    <n v="41.4"/>
    <n v="4099"/>
    <x v="1"/>
  </r>
  <r>
    <x v="1214"/>
    <x v="24"/>
    <x v="3"/>
    <x v="0"/>
    <n v="7"/>
    <n v="16"/>
    <n v="112"/>
    <n v="0.02"/>
    <n v="2.2400000000000002"/>
    <n v="110"/>
    <x v="2"/>
  </r>
  <r>
    <x v="1215"/>
    <x v="24"/>
    <x v="3"/>
    <x v="2"/>
    <n v="6"/>
    <n v="16"/>
    <n v="96"/>
    <n v="7.0000000000000007E-2"/>
    <n v="6.7200000000000006"/>
    <n v="89"/>
    <x v="3"/>
  </r>
  <r>
    <x v="1216"/>
    <x v="24"/>
    <x v="2"/>
    <x v="3"/>
    <n v="8"/>
    <n v="230"/>
    <n v="1840"/>
    <n v="0.05"/>
    <n v="92"/>
    <n v="1748"/>
    <x v="4"/>
  </r>
  <r>
    <x v="1217"/>
    <x v="24"/>
    <x v="3"/>
    <x v="2"/>
    <n v="12"/>
    <n v="16"/>
    <n v="192"/>
    <n v="0.11"/>
    <n v="21.12"/>
    <n v="171"/>
    <x v="5"/>
  </r>
  <r>
    <x v="1218"/>
    <x v="24"/>
    <x v="2"/>
    <x v="0"/>
    <n v="11"/>
    <n v="230"/>
    <n v="2530"/>
    <n v="0.02"/>
    <n v="50.6"/>
    <n v="2479"/>
    <x v="1"/>
  </r>
  <r>
    <x v="1219"/>
    <x v="24"/>
    <x v="3"/>
    <x v="2"/>
    <n v="3"/>
    <n v="16"/>
    <n v="48"/>
    <n v="0.05"/>
    <n v="2.4000000000000004"/>
    <n v="46"/>
    <x v="2"/>
  </r>
  <r>
    <x v="1220"/>
    <x v="25"/>
    <x v="4"/>
    <x v="1"/>
    <n v="16"/>
    <n v="150"/>
    <n v="2400"/>
    <n v="0.05"/>
    <n v="120"/>
    <n v="2280"/>
    <x v="3"/>
  </r>
  <r>
    <x v="1221"/>
    <x v="25"/>
    <x v="2"/>
    <x v="3"/>
    <n v="8"/>
    <n v="230"/>
    <n v="1840"/>
    <n v="0.01"/>
    <n v="18.400000000000002"/>
    <n v="1822"/>
    <x v="4"/>
  </r>
  <r>
    <x v="1222"/>
    <x v="25"/>
    <x v="0"/>
    <x v="2"/>
    <n v="16"/>
    <n v="80"/>
    <n v="1280"/>
    <n v="0.04"/>
    <n v="51.2"/>
    <n v="1229"/>
    <x v="5"/>
  </r>
  <r>
    <x v="1223"/>
    <x v="25"/>
    <x v="3"/>
    <x v="3"/>
    <n v="18"/>
    <n v="16"/>
    <n v="288"/>
    <n v="0.04"/>
    <n v="11.52"/>
    <n v="276"/>
    <x v="6"/>
  </r>
  <r>
    <x v="1224"/>
    <x v="25"/>
    <x v="1"/>
    <x v="4"/>
    <n v="14"/>
    <n v="40"/>
    <n v="560"/>
    <n v="0.11"/>
    <n v="61.6"/>
    <n v="498"/>
    <x v="7"/>
  </r>
  <r>
    <x v="1225"/>
    <x v="25"/>
    <x v="3"/>
    <x v="1"/>
    <n v="21"/>
    <n v="16"/>
    <n v="336"/>
    <n v="0.02"/>
    <n v="6.72"/>
    <n v="329"/>
    <x v="8"/>
  </r>
  <r>
    <x v="1226"/>
    <x v="25"/>
    <x v="3"/>
    <x v="1"/>
    <n v="7"/>
    <n v="16"/>
    <n v="112"/>
    <n v="0.08"/>
    <n v="8.9600000000000009"/>
    <n v="103"/>
    <x v="9"/>
  </r>
  <r>
    <x v="1227"/>
    <x v="25"/>
    <x v="0"/>
    <x v="2"/>
    <n v="7"/>
    <n v="80"/>
    <n v="560"/>
    <n v="0.05"/>
    <n v="28"/>
    <n v="532"/>
    <x v="10"/>
  </r>
  <r>
    <x v="1228"/>
    <x v="25"/>
    <x v="1"/>
    <x v="4"/>
    <n v="16"/>
    <n v="40"/>
    <n v="640"/>
    <n v="0.09"/>
    <n v="57.599999999999994"/>
    <n v="582"/>
    <x v="11"/>
  </r>
  <r>
    <x v="1229"/>
    <x v="25"/>
    <x v="2"/>
    <x v="4"/>
    <n v="22"/>
    <n v="230"/>
    <n v="5060"/>
    <n v="0.1"/>
    <n v="506"/>
    <n v="4554"/>
    <x v="0"/>
  </r>
  <r>
    <x v="1230"/>
    <x v="25"/>
    <x v="1"/>
    <x v="1"/>
    <n v="4"/>
    <n v="40"/>
    <n v="160"/>
    <n v="0.03"/>
    <n v="4.8"/>
    <n v="155"/>
    <x v="1"/>
  </r>
  <r>
    <x v="1231"/>
    <x v="25"/>
    <x v="2"/>
    <x v="4"/>
    <n v="3"/>
    <n v="230"/>
    <n v="690"/>
    <n v="0.1"/>
    <n v="69"/>
    <n v="621"/>
    <x v="2"/>
  </r>
  <r>
    <x v="1232"/>
    <x v="25"/>
    <x v="0"/>
    <x v="1"/>
    <n v="14"/>
    <n v="80"/>
    <n v="1120"/>
    <n v="0.11"/>
    <n v="123.2"/>
    <n v="997"/>
    <x v="3"/>
  </r>
  <r>
    <x v="1233"/>
    <x v="26"/>
    <x v="1"/>
    <x v="4"/>
    <n v="21"/>
    <n v="40"/>
    <n v="840"/>
    <n v="0.01"/>
    <n v="8.4"/>
    <n v="832"/>
    <x v="4"/>
  </r>
  <r>
    <x v="1234"/>
    <x v="26"/>
    <x v="3"/>
    <x v="1"/>
    <n v="20"/>
    <n v="16"/>
    <n v="320"/>
    <n v="0.06"/>
    <n v="19.2"/>
    <n v="301"/>
    <x v="5"/>
  </r>
  <r>
    <x v="1235"/>
    <x v="26"/>
    <x v="0"/>
    <x v="4"/>
    <n v="22"/>
    <n v="80"/>
    <n v="1760"/>
    <n v="0.11"/>
    <n v="193.6"/>
    <n v="1566"/>
    <x v="1"/>
  </r>
  <r>
    <x v="1236"/>
    <x v="26"/>
    <x v="1"/>
    <x v="0"/>
    <n v="7"/>
    <n v="40"/>
    <n v="280"/>
    <n v="0.1"/>
    <n v="28"/>
    <n v="252"/>
    <x v="2"/>
  </r>
  <r>
    <x v="1237"/>
    <x v="26"/>
    <x v="4"/>
    <x v="1"/>
    <n v="16"/>
    <n v="150"/>
    <n v="2400"/>
    <n v="0.05"/>
    <n v="120"/>
    <n v="2280"/>
    <x v="3"/>
  </r>
  <r>
    <x v="1238"/>
    <x v="26"/>
    <x v="2"/>
    <x v="1"/>
    <n v="7"/>
    <n v="230"/>
    <n v="1610"/>
    <n v="0.05"/>
    <n v="80.5"/>
    <n v="1530"/>
    <x v="4"/>
  </r>
  <r>
    <x v="1239"/>
    <x v="26"/>
    <x v="4"/>
    <x v="0"/>
    <n v="20"/>
    <n v="150"/>
    <n v="3000"/>
    <n v="0.03"/>
    <n v="90"/>
    <n v="2910"/>
    <x v="5"/>
  </r>
  <r>
    <x v="1240"/>
    <x v="26"/>
    <x v="4"/>
    <x v="1"/>
    <n v="16"/>
    <n v="150"/>
    <n v="2400"/>
    <n v="0.03"/>
    <n v="72"/>
    <n v="2328"/>
    <x v="6"/>
  </r>
  <r>
    <x v="1241"/>
    <x v="26"/>
    <x v="3"/>
    <x v="3"/>
    <n v="10"/>
    <n v="16"/>
    <n v="160"/>
    <n v="0.04"/>
    <n v="6.4"/>
    <n v="154"/>
    <x v="7"/>
  </r>
  <r>
    <x v="1242"/>
    <x v="26"/>
    <x v="0"/>
    <x v="4"/>
    <n v="6"/>
    <n v="80"/>
    <n v="480"/>
    <n v="0.09"/>
    <n v="43.199999999999996"/>
    <n v="437"/>
    <x v="8"/>
  </r>
  <r>
    <x v="1243"/>
    <x v="26"/>
    <x v="0"/>
    <x v="0"/>
    <n v="17"/>
    <n v="80"/>
    <n v="1360"/>
    <n v="0.09"/>
    <n v="122.39999999999999"/>
    <n v="1238"/>
    <x v="9"/>
  </r>
  <r>
    <x v="1244"/>
    <x v="26"/>
    <x v="1"/>
    <x v="0"/>
    <n v="19"/>
    <n v="40"/>
    <n v="760"/>
    <n v="0.04"/>
    <n v="30.400000000000002"/>
    <n v="730"/>
    <x v="10"/>
  </r>
  <r>
    <x v="1245"/>
    <x v="26"/>
    <x v="1"/>
    <x v="4"/>
    <n v="16"/>
    <n v="40"/>
    <n v="640"/>
    <n v="0.09"/>
    <n v="57.599999999999994"/>
    <n v="582"/>
    <x v="11"/>
  </r>
  <r>
    <x v="1246"/>
    <x v="26"/>
    <x v="3"/>
    <x v="0"/>
    <n v="4"/>
    <n v="16"/>
    <n v="64"/>
    <n v="0.12"/>
    <n v="7.68"/>
    <n v="56"/>
    <x v="0"/>
  </r>
  <r>
    <x v="1247"/>
    <x v="26"/>
    <x v="4"/>
    <x v="3"/>
    <n v="9"/>
    <n v="150"/>
    <n v="1350"/>
    <n v="0.02"/>
    <n v="27"/>
    <n v="1323"/>
    <x v="1"/>
  </r>
  <r>
    <x v="1248"/>
    <x v="26"/>
    <x v="3"/>
    <x v="0"/>
    <n v="11"/>
    <n v="16"/>
    <n v="176"/>
    <n v="0.09"/>
    <n v="15.84"/>
    <n v="160"/>
    <x v="2"/>
  </r>
  <r>
    <x v="1249"/>
    <x v="26"/>
    <x v="0"/>
    <x v="1"/>
    <n v="17"/>
    <n v="80"/>
    <n v="1360"/>
    <n v="0.03"/>
    <n v="40.799999999999997"/>
    <n v="1319"/>
    <x v="3"/>
  </r>
  <r>
    <x v="1250"/>
    <x v="27"/>
    <x v="4"/>
    <x v="0"/>
    <n v="3"/>
    <n v="150"/>
    <n v="450"/>
    <n v="0.03"/>
    <n v="13.5"/>
    <n v="436"/>
    <x v="4"/>
  </r>
  <r>
    <x v="1251"/>
    <x v="27"/>
    <x v="2"/>
    <x v="3"/>
    <n v="2"/>
    <n v="230"/>
    <n v="460"/>
    <n v="0.08"/>
    <n v="36.800000000000004"/>
    <n v="423"/>
    <x v="5"/>
  </r>
  <r>
    <x v="1252"/>
    <x v="27"/>
    <x v="2"/>
    <x v="3"/>
    <n v="17"/>
    <n v="230"/>
    <n v="3910"/>
    <n v="0.12"/>
    <n v="469.2"/>
    <n v="3441"/>
    <x v="1"/>
  </r>
  <r>
    <x v="1253"/>
    <x v="27"/>
    <x v="4"/>
    <x v="1"/>
    <n v="2"/>
    <n v="150"/>
    <n v="300"/>
    <n v="0.09"/>
    <n v="27"/>
    <n v="273"/>
    <x v="2"/>
  </r>
  <r>
    <x v="1254"/>
    <x v="27"/>
    <x v="1"/>
    <x v="3"/>
    <n v="18"/>
    <n v="40"/>
    <n v="720"/>
    <n v="0.06"/>
    <n v="43.199999999999996"/>
    <n v="677"/>
    <x v="3"/>
  </r>
  <r>
    <x v="1255"/>
    <x v="27"/>
    <x v="4"/>
    <x v="2"/>
    <n v="18"/>
    <n v="150"/>
    <n v="2700"/>
    <n v="0.06"/>
    <n v="162"/>
    <n v="2538"/>
    <x v="4"/>
  </r>
  <r>
    <x v="1256"/>
    <x v="27"/>
    <x v="1"/>
    <x v="1"/>
    <n v="12"/>
    <n v="40"/>
    <n v="480"/>
    <n v="0.1"/>
    <n v="48"/>
    <n v="432"/>
    <x v="5"/>
  </r>
  <r>
    <x v="1257"/>
    <x v="27"/>
    <x v="0"/>
    <x v="0"/>
    <n v="21"/>
    <n v="80"/>
    <n v="1680"/>
    <n v="0.04"/>
    <n v="67.2"/>
    <n v="1613"/>
    <x v="6"/>
  </r>
  <r>
    <x v="1258"/>
    <x v="27"/>
    <x v="1"/>
    <x v="4"/>
    <n v="3"/>
    <n v="40"/>
    <n v="120"/>
    <n v="0.03"/>
    <n v="3.5999999999999996"/>
    <n v="116"/>
    <x v="7"/>
  </r>
  <r>
    <x v="1259"/>
    <x v="27"/>
    <x v="0"/>
    <x v="4"/>
    <n v="22"/>
    <n v="80"/>
    <n v="1760"/>
    <n v="0.1"/>
    <n v="176"/>
    <n v="1584"/>
    <x v="8"/>
  </r>
  <r>
    <x v="1260"/>
    <x v="27"/>
    <x v="1"/>
    <x v="4"/>
    <n v="16"/>
    <n v="40"/>
    <n v="640"/>
    <n v="0.11"/>
    <n v="70.400000000000006"/>
    <n v="570"/>
    <x v="9"/>
  </r>
  <r>
    <x v="1261"/>
    <x v="27"/>
    <x v="3"/>
    <x v="0"/>
    <n v="11"/>
    <n v="16"/>
    <n v="176"/>
    <n v="0.09"/>
    <n v="15.84"/>
    <n v="160"/>
    <x v="10"/>
  </r>
  <r>
    <x v="1262"/>
    <x v="28"/>
    <x v="0"/>
    <x v="2"/>
    <n v="10"/>
    <n v="80"/>
    <n v="800"/>
    <n v="0.08"/>
    <n v="64"/>
    <n v="736"/>
    <x v="11"/>
  </r>
  <r>
    <x v="1263"/>
    <x v="28"/>
    <x v="3"/>
    <x v="2"/>
    <n v="12"/>
    <n v="16"/>
    <n v="192"/>
    <n v="0.03"/>
    <n v="5.76"/>
    <n v="186"/>
    <x v="0"/>
  </r>
  <r>
    <x v="1264"/>
    <x v="28"/>
    <x v="4"/>
    <x v="0"/>
    <n v="8"/>
    <n v="150"/>
    <n v="1200"/>
    <n v="0.09"/>
    <n v="108"/>
    <n v="1092"/>
    <x v="1"/>
  </r>
  <r>
    <x v="1265"/>
    <x v="28"/>
    <x v="1"/>
    <x v="4"/>
    <n v="10"/>
    <n v="40"/>
    <n v="400"/>
    <n v="0.03"/>
    <n v="12"/>
    <n v="388"/>
    <x v="2"/>
  </r>
  <r>
    <x v="1266"/>
    <x v="28"/>
    <x v="4"/>
    <x v="0"/>
    <n v="7"/>
    <n v="150"/>
    <n v="1050"/>
    <n v="0.02"/>
    <n v="21"/>
    <n v="1029"/>
    <x v="3"/>
  </r>
  <r>
    <x v="1267"/>
    <x v="28"/>
    <x v="3"/>
    <x v="2"/>
    <n v="6"/>
    <n v="16"/>
    <n v="96"/>
    <n v="0.01"/>
    <n v="0.96"/>
    <n v="95"/>
    <x v="4"/>
  </r>
  <r>
    <x v="1268"/>
    <x v="28"/>
    <x v="0"/>
    <x v="3"/>
    <n v="15"/>
    <n v="80"/>
    <n v="1200"/>
    <n v="0.08"/>
    <n v="96"/>
    <n v="1104"/>
    <x v="5"/>
  </r>
  <r>
    <x v="1269"/>
    <x v="28"/>
    <x v="3"/>
    <x v="4"/>
    <n v="13"/>
    <n v="16"/>
    <n v="208"/>
    <n v="7.0000000000000007E-2"/>
    <n v="14.560000000000002"/>
    <n v="193"/>
    <x v="1"/>
  </r>
  <r>
    <x v="1270"/>
    <x v="28"/>
    <x v="2"/>
    <x v="3"/>
    <n v="19"/>
    <n v="230"/>
    <n v="4370"/>
    <n v="0.06"/>
    <n v="262.2"/>
    <n v="4108"/>
    <x v="2"/>
  </r>
  <r>
    <x v="1271"/>
    <x v="28"/>
    <x v="0"/>
    <x v="3"/>
    <n v="21"/>
    <n v="80"/>
    <n v="1680"/>
    <n v="0.05"/>
    <n v="84"/>
    <n v="1596"/>
    <x v="3"/>
  </r>
  <r>
    <x v="1272"/>
    <x v="28"/>
    <x v="0"/>
    <x v="1"/>
    <n v="5"/>
    <n v="80"/>
    <n v="400"/>
    <n v="7.0000000000000007E-2"/>
    <n v="28.000000000000004"/>
    <n v="372"/>
    <x v="4"/>
  </r>
  <r>
    <x v="1273"/>
    <x v="28"/>
    <x v="3"/>
    <x v="2"/>
    <n v="8"/>
    <n v="16"/>
    <n v="128"/>
    <n v="0.03"/>
    <n v="3.84"/>
    <n v="124"/>
    <x v="5"/>
  </r>
  <r>
    <x v="1274"/>
    <x v="28"/>
    <x v="3"/>
    <x v="2"/>
    <n v="12"/>
    <n v="16"/>
    <n v="192"/>
    <n v="0.11"/>
    <n v="21.12"/>
    <n v="171"/>
    <x v="6"/>
  </r>
  <r>
    <x v="1275"/>
    <x v="28"/>
    <x v="0"/>
    <x v="3"/>
    <n v="22"/>
    <n v="80"/>
    <n v="1760"/>
    <n v="0.03"/>
    <n v="52.8"/>
    <n v="1707"/>
    <x v="7"/>
  </r>
  <r>
    <x v="1276"/>
    <x v="28"/>
    <x v="1"/>
    <x v="0"/>
    <n v="5"/>
    <n v="40"/>
    <n v="200"/>
    <n v="0.09"/>
    <n v="18"/>
    <n v="182"/>
    <x v="8"/>
  </r>
  <r>
    <x v="1277"/>
    <x v="29"/>
    <x v="4"/>
    <x v="1"/>
    <n v="23"/>
    <n v="150"/>
    <n v="3450"/>
    <n v="0.11"/>
    <n v="379.5"/>
    <n v="3070"/>
    <x v="9"/>
  </r>
  <r>
    <x v="1278"/>
    <x v="29"/>
    <x v="0"/>
    <x v="0"/>
    <n v="16"/>
    <n v="80"/>
    <n v="1280"/>
    <n v="0.03"/>
    <n v="38.4"/>
    <n v="1242"/>
    <x v="10"/>
  </r>
  <r>
    <x v="1279"/>
    <x v="29"/>
    <x v="4"/>
    <x v="4"/>
    <n v="15"/>
    <n v="150"/>
    <n v="2250"/>
    <n v="7.0000000000000007E-2"/>
    <n v="157.50000000000003"/>
    <n v="2092"/>
    <x v="11"/>
  </r>
  <r>
    <x v="1280"/>
    <x v="29"/>
    <x v="1"/>
    <x v="0"/>
    <n v="20"/>
    <n v="40"/>
    <n v="800"/>
    <n v="0.04"/>
    <n v="32"/>
    <n v="768"/>
    <x v="0"/>
  </r>
  <r>
    <x v="1281"/>
    <x v="29"/>
    <x v="2"/>
    <x v="2"/>
    <n v="10"/>
    <n v="230"/>
    <n v="2300"/>
    <n v="0.02"/>
    <n v="46"/>
    <n v="2254"/>
    <x v="1"/>
  </r>
  <r>
    <x v="1282"/>
    <x v="29"/>
    <x v="0"/>
    <x v="1"/>
    <n v="9"/>
    <n v="80"/>
    <n v="720"/>
    <n v="0.03"/>
    <n v="21.599999999999998"/>
    <n v="698"/>
    <x v="2"/>
  </r>
  <r>
    <x v="1283"/>
    <x v="29"/>
    <x v="2"/>
    <x v="0"/>
    <n v="16"/>
    <n v="230"/>
    <n v="3680"/>
    <n v="7.0000000000000007E-2"/>
    <n v="257.60000000000002"/>
    <n v="3422"/>
    <x v="3"/>
  </r>
  <r>
    <x v="1284"/>
    <x v="29"/>
    <x v="0"/>
    <x v="1"/>
    <n v="21"/>
    <n v="80"/>
    <n v="1680"/>
    <n v="0.04"/>
    <n v="67.2"/>
    <n v="1613"/>
    <x v="4"/>
  </r>
  <r>
    <x v="1285"/>
    <x v="29"/>
    <x v="0"/>
    <x v="1"/>
    <n v="9"/>
    <n v="80"/>
    <n v="720"/>
    <n v="0.03"/>
    <n v="21.599999999999998"/>
    <n v="698"/>
    <x v="5"/>
  </r>
  <r>
    <x v="1286"/>
    <x v="29"/>
    <x v="1"/>
    <x v="1"/>
    <n v="4"/>
    <n v="40"/>
    <n v="160"/>
    <n v="0.12"/>
    <n v="19.2"/>
    <n v="141"/>
    <x v="1"/>
  </r>
  <r>
    <x v="1287"/>
    <x v="29"/>
    <x v="2"/>
    <x v="2"/>
    <n v="5"/>
    <n v="230"/>
    <n v="1150"/>
    <n v="0.01"/>
    <n v="11.5"/>
    <n v="1138"/>
    <x v="2"/>
  </r>
  <r>
    <x v="1288"/>
    <x v="29"/>
    <x v="3"/>
    <x v="0"/>
    <n v="18"/>
    <n v="16"/>
    <n v="288"/>
    <n v="0.05"/>
    <n v="14.4"/>
    <n v="274"/>
    <x v="3"/>
  </r>
  <r>
    <x v="1289"/>
    <x v="30"/>
    <x v="0"/>
    <x v="2"/>
    <n v="6"/>
    <n v="80"/>
    <n v="480"/>
    <n v="0.01"/>
    <n v="4.8"/>
    <n v="475"/>
    <x v="4"/>
  </r>
  <r>
    <x v="1290"/>
    <x v="30"/>
    <x v="4"/>
    <x v="4"/>
    <n v="4"/>
    <n v="150"/>
    <n v="600"/>
    <n v="0.05"/>
    <n v="30"/>
    <n v="570"/>
    <x v="5"/>
  </r>
  <r>
    <x v="1291"/>
    <x v="30"/>
    <x v="2"/>
    <x v="4"/>
    <n v="21"/>
    <n v="230"/>
    <n v="4830"/>
    <n v="0.05"/>
    <n v="241.5"/>
    <n v="4588"/>
    <x v="6"/>
  </r>
  <r>
    <x v="1292"/>
    <x v="30"/>
    <x v="4"/>
    <x v="0"/>
    <n v="4"/>
    <n v="150"/>
    <n v="600"/>
    <n v="0.06"/>
    <n v="36"/>
    <n v="564"/>
    <x v="7"/>
  </r>
  <r>
    <x v="1293"/>
    <x v="30"/>
    <x v="0"/>
    <x v="1"/>
    <n v="2"/>
    <n v="80"/>
    <n v="160"/>
    <n v="0.04"/>
    <n v="6.4"/>
    <n v="154"/>
    <x v="8"/>
  </r>
  <r>
    <x v="1294"/>
    <x v="30"/>
    <x v="3"/>
    <x v="1"/>
    <n v="5"/>
    <n v="16"/>
    <n v="80"/>
    <n v="0.11"/>
    <n v="8.8000000000000007"/>
    <n v="71"/>
    <x v="9"/>
  </r>
  <r>
    <x v="1295"/>
    <x v="30"/>
    <x v="4"/>
    <x v="4"/>
    <n v="23"/>
    <n v="150"/>
    <n v="3450"/>
    <n v="0.08"/>
    <n v="276"/>
    <n v="3174"/>
    <x v="10"/>
  </r>
  <r>
    <x v="1296"/>
    <x v="30"/>
    <x v="0"/>
    <x v="1"/>
    <n v="3"/>
    <n v="80"/>
    <n v="240"/>
    <n v="0.02"/>
    <n v="4.8"/>
    <n v="235"/>
    <x v="11"/>
  </r>
  <r>
    <x v="1297"/>
    <x v="30"/>
    <x v="2"/>
    <x v="4"/>
    <n v="17"/>
    <n v="230"/>
    <n v="3910"/>
    <n v="0.11"/>
    <n v="430.1"/>
    <n v="3480"/>
    <x v="0"/>
  </r>
  <r>
    <x v="1298"/>
    <x v="30"/>
    <x v="1"/>
    <x v="2"/>
    <n v="11"/>
    <n v="40"/>
    <n v="440"/>
    <n v="0.05"/>
    <n v="22"/>
    <n v="418"/>
    <x v="1"/>
  </r>
  <r>
    <x v="1299"/>
    <x v="30"/>
    <x v="1"/>
    <x v="2"/>
    <n v="13"/>
    <n v="40"/>
    <n v="520"/>
    <n v="0.02"/>
    <n v="10.4"/>
    <n v="51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EEE1CA-8ED0-408E-9F6F-1E0A8FEC6A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1">
    <pivotField showAll="0"/>
    <pivotField numFmtId="14" showAll="0"/>
    <pivotField showAll="0"/>
    <pivotField showAll="0">
      <items count="6">
        <item x="4"/>
        <item x="0"/>
        <item x="2"/>
        <item x="1"/>
        <item x="3"/>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61DD6A-44C1-4402-8DE5-71386499CE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1">
    <pivotField showAll="0"/>
    <pivotField numFmtId="14" showAll="0"/>
    <pivotField showAll="0"/>
    <pivotField showAll="0">
      <items count="6">
        <item x="4"/>
        <item x="0"/>
        <item x="2"/>
        <item x="1"/>
        <item x="3"/>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Net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E289DF-C632-454D-AB10-4B59A7DCB7A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4:B96" firstHeaderRow="1" firstDataRow="1" firstDataCol="1"/>
  <pivotFields count="11">
    <pivotField dataField="1" showAll="0">
      <items count="13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items count="6">
        <item x="4"/>
        <item x="0"/>
        <item x="2"/>
        <item x="1"/>
        <item x="3"/>
        <item t="default"/>
      </items>
    </pivotField>
    <pivotField showAll="0"/>
    <pivotField showAll="0"/>
    <pivotField showAll="0"/>
    <pivotField showAll="0"/>
    <pivotField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Order ID.1"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460D2-ADAF-4883-88C7-BC1F056CDA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dataField="1" showAll="0"/>
    <pivotField numFmtId="14" showAll="0"/>
    <pivotField showAll="0"/>
    <pivotField showAll="0">
      <items count="6">
        <item x="4"/>
        <item x="0"/>
        <item x="2"/>
        <item x="1"/>
        <item x="3"/>
        <item t="default"/>
      </items>
    </pivotField>
    <pivotField showAll="0"/>
    <pivotField showAll="0"/>
    <pivotField showAll="0"/>
    <pivotField showAll="0"/>
    <pivotField showAll="0"/>
    <pivotField showAll="0"/>
    <pivotField showAll="0"/>
  </pivotFields>
  <rowItems count="1">
    <i/>
  </rowItems>
  <colItems count="1">
    <i/>
  </colItems>
  <dataFields count="1">
    <dataField name="Count of Order ID.1"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D5ACAF-7429-49C8-B635-AF2CD2E42D7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59" firstHeaderRow="1" firstDataRow="1" firstDataCol="1"/>
  <pivotFields count="11">
    <pivotField dataField="1" showAll="0">
      <items count="13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numFmtId="14" showAll="0"/>
    <pivotField showAll="0"/>
    <pivotField showAll="0">
      <items count="6">
        <item x="4"/>
        <item x="0"/>
        <item x="2"/>
        <item x="1"/>
        <item x="3"/>
        <item t="default"/>
      </items>
    </pivotField>
    <pivotField showAll="0"/>
    <pivotField showAll="0"/>
    <pivotField showAll="0"/>
    <pivotField showAll="0"/>
    <pivotField showAll="0"/>
    <pivotField showAll="0"/>
    <pivotField axis="axisRow" showAll="0">
      <items count="13">
        <item x="5"/>
        <item x="3"/>
        <item x="6"/>
        <item x="8"/>
        <item x="10"/>
        <item x="9"/>
        <item x="7"/>
        <item x="11"/>
        <item x="2"/>
        <item x="0"/>
        <item x="1"/>
        <item x="4"/>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Count of Order ID.1"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694376-1342-4EE6-AF3B-35DD05AB22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B28" firstHeaderRow="1" firstDataRow="1" firstDataCol="1"/>
  <pivotFields count="11">
    <pivotField showAll="0"/>
    <pivotField numFmtId="14" showAll="0"/>
    <pivotField showAll="0"/>
    <pivotField axis="axisRow" showAll="0">
      <items count="6">
        <item x="4"/>
        <item x="0"/>
        <item x="2"/>
        <item x="1"/>
        <item x="3"/>
        <item t="default"/>
      </items>
    </pivotField>
    <pivotField showAll="0"/>
    <pivotField showAll="0"/>
    <pivotField dataField="1"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2FCF9F-1D53-448A-B22B-6FCCF4E126C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B16" firstHeaderRow="1" firstDataRow="1" firstDataCol="1"/>
  <pivotFields count="11">
    <pivotField showAll="0"/>
    <pivotField numFmtId="14" showAll="0"/>
    <pivotField axis="axisRow" showAll="0">
      <items count="6">
        <item x="3"/>
        <item x="2"/>
        <item x="0"/>
        <item x="4"/>
        <item x="1"/>
        <item t="default"/>
      </items>
    </pivotField>
    <pivotField showAll="0">
      <items count="6">
        <item x="4"/>
        <item x="0"/>
        <item x="2"/>
        <item x="1"/>
        <item x="3"/>
        <item t="default"/>
      </items>
    </pivotField>
    <pivotField dataField="1"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38BBCD-448A-4610-B709-7E09EA62F4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1">
    <pivotField showAll="0"/>
    <pivotField numFmtId="14" showAll="0"/>
    <pivotField showAll="0"/>
    <pivotField showAll="0">
      <items count="6">
        <item x="4"/>
        <item x="0"/>
        <item x="2"/>
        <item x="1"/>
        <item x="3"/>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Total Comissio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34C409-9D4B-4178-8C4F-C64BA37779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4:B40" firstHeaderRow="1" firstDataRow="1" firstDataCol="1"/>
  <pivotFields count="11">
    <pivotField showAll="0"/>
    <pivotField numFmtId="14" showAll="0"/>
    <pivotField showAll="0"/>
    <pivotField axis="axisRow" showAll="0">
      <items count="6">
        <item x="4"/>
        <item x="0"/>
        <item x="2"/>
        <item x="1"/>
        <item x="3"/>
        <item t="default"/>
      </items>
    </pivotField>
    <pivotField showAll="0"/>
    <pivotField showAll="0"/>
    <pivotField showAll="0"/>
    <pivotField showAll="0"/>
    <pivotField dataField="1" showAll="0"/>
    <pivotField showAll="0"/>
    <pivotField showAll="0"/>
  </pivotFields>
  <rowFields count="1">
    <field x="3"/>
  </rowFields>
  <rowItems count="6">
    <i>
      <x/>
    </i>
    <i>
      <x v="1"/>
    </i>
    <i>
      <x v="2"/>
    </i>
    <i>
      <x v="3"/>
    </i>
    <i>
      <x v="4"/>
    </i>
    <i t="grand">
      <x/>
    </i>
  </rowItems>
  <colItems count="1">
    <i/>
  </colItems>
  <dataFields count="1">
    <dataField name="Sum of Total Comission" fld="8"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C89331-E2AC-4C3E-A32F-76AD02CAAD05}" autoFormatId="16" applyNumberFormats="0" applyBorderFormats="0" applyFontFormats="0" applyPatternFormats="0" applyAlignmentFormats="0" applyWidthHeightFormats="0">
  <queryTableRefresh nextId="12">
    <queryTableFields count="11">
      <queryTableField id="1" name="Order ID.1" tableColumnId="1"/>
      <queryTableField id="2" name="Date" tableColumnId="2"/>
      <queryTableField id="3" name="Item" tableColumnId="3"/>
      <queryTableField id="4" name="Sales Rep" tableColumnId="4"/>
      <queryTableField id="5" name="Quantity" tableColumnId="5"/>
      <queryTableField id="6" name="Price" tableColumnId="6"/>
      <queryTableField id="7" name="Total Sales" tableColumnId="7"/>
      <queryTableField id="8" name="Commission" tableColumnId="8"/>
      <queryTableField id="9" name="Total Comission" tableColumnId="9"/>
      <queryTableField id="10" name="Net Sales" tableColumnId="10"/>
      <queryTableField id="11" name="Stat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48367685-024A-40D8-A329-9C375E3484ED}" sourceName="Sales Rep">
  <pivotTables>
    <pivotTable tabId="1" name="PivotTable6"/>
    <pivotTable tabId="1" name="PivotTable12"/>
    <pivotTable tabId="1" name="PivotTable2"/>
    <pivotTable tabId="1" name="PivotTable3"/>
    <pivotTable tabId="1" name="PivotTable4"/>
    <pivotTable tabId="1" name="PivotTable5"/>
    <pivotTable tabId="1" name="PivotTable7"/>
    <pivotTable tabId="1" name="PivotTable8"/>
    <pivotTable tabId="1" name="PivotTable9"/>
  </pivotTables>
  <data>
    <tabular pivotCacheId="213475392">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07CE169D-380E-46B9-8038-47E100AA6917}" cache="Slicer_Sales_Rep" caption="Sales Rep"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63017-2051-4C9C-8975-0E576C975DD4}" name="data" displayName="data" ref="A1:K1301" tableType="queryTable" totalsRowShown="0">
  <autoFilter ref="A1:K1301" xr:uid="{D4863017-2051-4C9C-8975-0E576C975DD4}"/>
  <tableColumns count="11">
    <tableColumn id="1" xr3:uid="{DAE2119B-9748-4FCA-B2CC-16B470D03214}" uniqueName="1" name="Order ID.1" queryTableFieldId="1" dataDxfId="4"/>
    <tableColumn id="2" xr3:uid="{90BB24A2-A034-4DCF-A90C-0A3940D17034}" uniqueName="2" name="Date" queryTableFieldId="2" dataDxfId="3"/>
    <tableColumn id="3" xr3:uid="{588A155F-8A33-4AB5-BBFE-1400FC4175B2}" uniqueName="3" name="Item" queryTableFieldId="3" dataDxfId="2"/>
    <tableColumn id="4" xr3:uid="{7E7ABE35-8555-4434-B015-9DA1A95CC4F0}" uniqueName="4" name="Sales Rep" queryTableFieldId="4" dataDxfId="1"/>
    <tableColumn id="5" xr3:uid="{800305D0-7BED-447E-A3B8-C64273581041}" uniqueName="5" name="Quantity" queryTableFieldId="5"/>
    <tableColumn id="6" xr3:uid="{D62D1B7D-BE38-4520-AD1E-E829E3E9B627}" uniqueName="6" name="Price" queryTableFieldId="6"/>
    <tableColumn id="7" xr3:uid="{C75905F6-1923-4872-9BCF-97F9E00898C2}" uniqueName="7" name="Total Sales" queryTableFieldId="7"/>
    <tableColumn id="8" xr3:uid="{B136A9EC-8F25-4CC8-A78A-1074B74F19EF}" uniqueName="8" name="Commission" queryTableFieldId="8"/>
    <tableColumn id="9" xr3:uid="{B8C8D038-39BF-42C8-A32C-9F50E69ACE7F}" uniqueName="9" name="Total Comission" queryTableFieldId="9"/>
    <tableColumn id="10" xr3:uid="{A0C5638E-451C-4B43-B2BC-24937A37A665}" uniqueName="10" name="Net Sales" queryTableFieldId="10"/>
    <tableColumn id="11" xr3:uid="{ADF8C916-C78F-4715-BF0A-930E2B588C6C}" uniqueName="11" name="State"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9D1D-693A-4A24-80CB-D92A3320A851}">
  <dimension ref="A1:K1301"/>
  <sheetViews>
    <sheetView workbookViewId="0">
      <selection activeCell="A2" sqref="A2"/>
    </sheetView>
  </sheetViews>
  <sheetFormatPr defaultRowHeight="14.4" x14ac:dyDescent="0.3"/>
  <cols>
    <col min="1" max="1" width="13.88671875" bestFit="1" customWidth="1"/>
    <col min="2" max="2" width="10.33203125" bestFit="1" customWidth="1"/>
    <col min="3" max="3" width="11.21875" bestFit="1" customWidth="1"/>
    <col min="4" max="4" width="11.109375" bestFit="1" customWidth="1"/>
    <col min="5" max="5" width="10.5546875" bestFit="1" customWidth="1"/>
    <col min="6" max="6" width="7.33203125" bestFit="1" customWidth="1"/>
    <col min="7" max="7" width="12.109375" bestFit="1" customWidth="1"/>
    <col min="8" max="8" width="13.44140625" bestFit="1" customWidth="1"/>
    <col min="9" max="9" width="16.5546875" bestFit="1" customWidth="1"/>
    <col min="10" max="10" width="10.88671875" bestFit="1" customWidth="1"/>
    <col min="11" max="11" width="12.2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s="1">
        <v>43282</v>
      </c>
      <c r="C2" t="s">
        <v>12</v>
      </c>
      <c r="D2" t="s">
        <v>13</v>
      </c>
      <c r="E2">
        <v>10</v>
      </c>
      <c r="F2">
        <v>80</v>
      </c>
      <c r="G2">
        <v>800</v>
      </c>
      <c r="H2">
        <v>0.01</v>
      </c>
      <c r="I2">
        <v>8</v>
      </c>
      <c r="J2">
        <v>792</v>
      </c>
      <c r="K2" t="s">
        <v>14</v>
      </c>
    </row>
    <row r="3" spans="1:11" x14ac:dyDescent="0.3">
      <c r="A3" t="s">
        <v>15</v>
      </c>
      <c r="B3" s="1">
        <v>43282</v>
      </c>
      <c r="C3" t="s">
        <v>16</v>
      </c>
      <c r="D3" t="s">
        <v>17</v>
      </c>
      <c r="E3">
        <v>14</v>
      </c>
      <c r="F3">
        <v>40</v>
      </c>
      <c r="G3">
        <v>560</v>
      </c>
      <c r="H3">
        <v>0.06</v>
      </c>
      <c r="I3">
        <v>33.6</v>
      </c>
      <c r="J3">
        <v>526</v>
      </c>
      <c r="K3" t="s">
        <v>18</v>
      </c>
    </row>
    <row r="4" spans="1:11" x14ac:dyDescent="0.3">
      <c r="A4" t="s">
        <v>19</v>
      </c>
      <c r="B4" s="1">
        <v>43282</v>
      </c>
      <c r="C4" t="s">
        <v>20</v>
      </c>
      <c r="D4" t="s">
        <v>17</v>
      </c>
      <c r="E4">
        <v>22</v>
      </c>
      <c r="F4">
        <v>230</v>
      </c>
      <c r="G4">
        <v>5060</v>
      </c>
      <c r="H4">
        <v>0.11</v>
      </c>
      <c r="I4">
        <v>556.6</v>
      </c>
      <c r="J4">
        <v>4503</v>
      </c>
      <c r="K4" t="s">
        <v>21</v>
      </c>
    </row>
    <row r="5" spans="1:11" x14ac:dyDescent="0.3">
      <c r="A5" t="s">
        <v>22</v>
      </c>
      <c r="B5" s="1">
        <v>43282</v>
      </c>
      <c r="C5" t="s">
        <v>20</v>
      </c>
      <c r="D5" t="s">
        <v>13</v>
      </c>
      <c r="E5">
        <v>8</v>
      </c>
      <c r="F5">
        <v>230</v>
      </c>
      <c r="G5">
        <v>1840</v>
      </c>
      <c r="H5">
        <v>0.03</v>
      </c>
      <c r="I5">
        <v>55.199999999999996</v>
      </c>
      <c r="J5">
        <v>1785</v>
      </c>
      <c r="K5" t="s">
        <v>23</v>
      </c>
    </row>
    <row r="6" spans="1:11" x14ac:dyDescent="0.3">
      <c r="A6" t="s">
        <v>24</v>
      </c>
      <c r="B6" s="1">
        <v>43282</v>
      </c>
      <c r="C6" t="s">
        <v>20</v>
      </c>
      <c r="D6" t="s">
        <v>25</v>
      </c>
      <c r="E6">
        <v>12</v>
      </c>
      <c r="F6">
        <v>230</v>
      </c>
      <c r="G6">
        <v>2760</v>
      </c>
      <c r="H6">
        <v>0.03</v>
      </c>
      <c r="I6">
        <v>82.8</v>
      </c>
      <c r="J6">
        <v>2677</v>
      </c>
      <c r="K6" t="s">
        <v>26</v>
      </c>
    </row>
    <row r="7" spans="1:11" x14ac:dyDescent="0.3">
      <c r="A7" t="s">
        <v>27</v>
      </c>
      <c r="B7" s="1">
        <v>43282</v>
      </c>
      <c r="C7" t="s">
        <v>12</v>
      </c>
      <c r="D7" t="s">
        <v>28</v>
      </c>
      <c r="E7">
        <v>19</v>
      </c>
      <c r="F7">
        <v>80</v>
      </c>
      <c r="G7">
        <v>1520</v>
      </c>
      <c r="H7">
        <v>0.02</v>
      </c>
      <c r="I7">
        <v>30.400000000000002</v>
      </c>
      <c r="J7">
        <v>1490</v>
      </c>
      <c r="K7" t="s">
        <v>29</v>
      </c>
    </row>
    <row r="8" spans="1:11" x14ac:dyDescent="0.3">
      <c r="A8" t="s">
        <v>30</v>
      </c>
      <c r="B8" s="1">
        <v>43282</v>
      </c>
      <c r="C8" t="s">
        <v>31</v>
      </c>
      <c r="D8" t="s">
        <v>32</v>
      </c>
      <c r="E8">
        <v>17</v>
      </c>
      <c r="F8">
        <v>16</v>
      </c>
      <c r="G8">
        <v>272</v>
      </c>
      <c r="H8">
        <v>0.08</v>
      </c>
      <c r="I8">
        <v>21.76</v>
      </c>
      <c r="J8">
        <v>250</v>
      </c>
      <c r="K8" t="s">
        <v>33</v>
      </c>
    </row>
    <row r="9" spans="1:11" x14ac:dyDescent="0.3">
      <c r="A9" t="s">
        <v>34</v>
      </c>
      <c r="B9" s="1">
        <v>43282</v>
      </c>
      <c r="C9" t="s">
        <v>35</v>
      </c>
      <c r="D9" t="s">
        <v>28</v>
      </c>
      <c r="E9">
        <v>7</v>
      </c>
      <c r="F9">
        <v>150</v>
      </c>
      <c r="G9">
        <v>1050</v>
      </c>
      <c r="H9">
        <v>0.05</v>
      </c>
      <c r="I9">
        <v>52.5</v>
      </c>
      <c r="J9">
        <v>998</v>
      </c>
      <c r="K9" t="s">
        <v>36</v>
      </c>
    </row>
    <row r="10" spans="1:11" x14ac:dyDescent="0.3">
      <c r="A10" t="s">
        <v>37</v>
      </c>
      <c r="B10" s="1">
        <v>43282</v>
      </c>
      <c r="C10" t="s">
        <v>35</v>
      </c>
      <c r="D10" t="s">
        <v>28</v>
      </c>
      <c r="E10">
        <v>20</v>
      </c>
      <c r="F10">
        <v>150</v>
      </c>
      <c r="G10">
        <v>3000</v>
      </c>
      <c r="H10">
        <v>0.1</v>
      </c>
      <c r="I10">
        <v>300</v>
      </c>
      <c r="J10">
        <v>2700</v>
      </c>
      <c r="K10" t="s">
        <v>38</v>
      </c>
    </row>
    <row r="11" spans="1:11" x14ac:dyDescent="0.3">
      <c r="A11" t="s">
        <v>39</v>
      </c>
      <c r="B11" s="1">
        <v>43282</v>
      </c>
      <c r="C11" t="s">
        <v>31</v>
      </c>
      <c r="D11" t="s">
        <v>13</v>
      </c>
      <c r="E11">
        <v>21</v>
      </c>
      <c r="F11">
        <v>16</v>
      </c>
      <c r="G11">
        <v>336</v>
      </c>
      <c r="H11">
        <v>0.09</v>
      </c>
      <c r="I11">
        <v>30.24</v>
      </c>
      <c r="J11">
        <v>306</v>
      </c>
      <c r="K11" t="s">
        <v>40</v>
      </c>
    </row>
    <row r="12" spans="1:11" x14ac:dyDescent="0.3">
      <c r="A12" t="s">
        <v>41</v>
      </c>
      <c r="B12" s="1">
        <v>43282</v>
      </c>
      <c r="C12" t="s">
        <v>20</v>
      </c>
      <c r="D12" t="s">
        <v>17</v>
      </c>
      <c r="E12">
        <v>7</v>
      </c>
      <c r="F12">
        <v>230</v>
      </c>
      <c r="G12">
        <v>1610</v>
      </c>
      <c r="H12">
        <v>0.01</v>
      </c>
      <c r="I12">
        <v>16.100000000000001</v>
      </c>
      <c r="J12">
        <v>1594</v>
      </c>
      <c r="K12" t="s">
        <v>42</v>
      </c>
    </row>
    <row r="13" spans="1:11" x14ac:dyDescent="0.3">
      <c r="A13" t="s">
        <v>43</v>
      </c>
      <c r="B13" s="1">
        <v>43283</v>
      </c>
      <c r="C13" t="s">
        <v>12</v>
      </c>
      <c r="D13" t="s">
        <v>28</v>
      </c>
      <c r="E13">
        <v>7</v>
      </c>
      <c r="F13">
        <v>80</v>
      </c>
      <c r="G13">
        <v>560</v>
      </c>
      <c r="H13">
        <v>7.0000000000000007E-2</v>
      </c>
      <c r="I13">
        <v>39.200000000000003</v>
      </c>
      <c r="J13">
        <v>521</v>
      </c>
      <c r="K13" t="s">
        <v>44</v>
      </c>
    </row>
    <row r="14" spans="1:11" x14ac:dyDescent="0.3">
      <c r="A14" t="s">
        <v>45</v>
      </c>
      <c r="B14" s="1">
        <v>43283</v>
      </c>
      <c r="C14" t="s">
        <v>12</v>
      </c>
      <c r="D14" t="s">
        <v>32</v>
      </c>
      <c r="E14">
        <v>9</v>
      </c>
      <c r="F14">
        <v>80</v>
      </c>
      <c r="G14">
        <v>720</v>
      </c>
      <c r="H14">
        <v>0.02</v>
      </c>
      <c r="I14">
        <v>14.4</v>
      </c>
      <c r="J14">
        <v>706</v>
      </c>
      <c r="K14" t="s">
        <v>14</v>
      </c>
    </row>
    <row r="15" spans="1:11" x14ac:dyDescent="0.3">
      <c r="A15" t="s">
        <v>46</v>
      </c>
      <c r="B15" s="1">
        <v>43283</v>
      </c>
      <c r="C15" t="s">
        <v>16</v>
      </c>
      <c r="D15" t="s">
        <v>32</v>
      </c>
      <c r="E15">
        <v>16</v>
      </c>
      <c r="F15">
        <v>40</v>
      </c>
      <c r="G15">
        <v>640</v>
      </c>
      <c r="H15">
        <v>0.09</v>
      </c>
      <c r="I15">
        <v>57.599999999999994</v>
      </c>
      <c r="J15">
        <v>582</v>
      </c>
      <c r="K15" t="s">
        <v>18</v>
      </c>
    </row>
    <row r="16" spans="1:11" x14ac:dyDescent="0.3">
      <c r="A16" t="s">
        <v>47</v>
      </c>
      <c r="B16" s="1">
        <v>43283</v>
      </c>
      <c r="C16" t="s">
        <v>35</v>
      </c>
      <c r="D16" t="s">
        <v>17</v>
      </c>
      <c r="E16">
        <v>23</v>
      </c>
      <c r="F16">
        <v>150</v>
      </c>
      <c r="G16">
        <v>3450</v>
      </c>
      <c r="H16">
        <v>0.11</v>
      </c>
      <c r="I16">
        <v>379.5</v>
      </c>
      <c r="J16">
        <v>3070</v>
      </c>
      <c r="K16" t="s">
        <v>21</v>
      </c>
    </row>
    <row r="17" spans="1:11" x14ac:dyDescent="0.3">
      <c r="A17" t="s">
        <v>48</v>
      </c>
      <c r="B17" s="1">
        <v>43283</v>
      </c>
      <c r="C17" t="s">
        <v>31</v>
      </c>
      <c r="D17" t="s">
        <v>28</v>
      </c>
      <c r="E17">
        <v>22</v>
      </c>
      <c r="F17">
        <v>16</v>
      </c>
      <c r="G17">
        <v>352</v>
      </c>
      <c r="H17">
        <v>0.03</v>
      </c>
      <c r="I17">
        <v>10.559999999999999</v>
      </c>
      <c r="J17">
        <v>341</v>
      </c>
      <c r="K17" t="s">
        <v>23</v>
      </c>
    </row>
    <row r="18" spans="1:11" x14ac:dyDescent="0.3">
      <c r="A18" t="s">
        <v>49</v>
      </c>
      <c r="B18" s="1">
        <v>43283</v>
      </c>
      <c r="C18" t="s">
        <v>16</v>
      </c>
      <c r="D18" t="s">
        <v>28</v>
      </c>
      <c r="E18">
        <v>23</v>
      </c>
      <c r="F18">
        <v>40</v>
      </c>
      <c r="G18">
        <v>920</v>
      </c>
      <c r="H18">
        <v>0.06</v>
      </c>
      <c r="I18">
        <v>55.199999999999996</v>
      </c>
      <c r="J18">
        <v>865</v>
      </c>
      <c r="K18" t="s">
        <v>26</v>
      </c>
    </row>
    <row r="19" spans="1:11" x14ac:dyDescent="0.3">
      <c r="A19" t="s">
        <v>50</v>
      </c>
      <c r="B19" s="1">
        <v>43283</v>
      </c>
      <c r="C19" t="s">
        <v>12</v>
      </c>
      <c r="D19" t="s">
        <v>13</v>
      </c>
      <c r="E19">
        <v>20</v>
      </c>
      <c r="F19">
        <v>80</v>
      </c>
      <c r="G19">
        <v>1600</v>
      </c>
      <c r="H19">
        <v>0.01</v>
      </c>
      <c r="I19">
        <v>16</v>
      </c>
      <c r="J19">
        <v>1584</v>
      </c>
      <c r="K19" t="s">
        <v>29</v>
      </c>
    </row>
    <row r="20" spans="1:11" x14ac:dyDescent="0.3">
      <c r="A20" t="s">
        <v>51</v>
      </c>
      <c r="B20" s="1">
        <v>43284</v>
      </c>
      <c r="C20" t="s">
        <v>12</v>
      </c>
      <c r="D20" t="s">
        <v>28</v>
      </c>
      <c r="E20">
        <v>11</v>
      </c>
      <c r="F20">
        <v>80</v>
      </c>
      <c r="G20">
        <v>880</v>
      </c>
      <c r="H20">
        <v>0.01</v>
      </c>
      <c r="I20">
        <v>8.8000000000000007</v>
      </c>
      <c r="J20">
        <v>871</v>
      </c>
      <c r="K20" t="s">
        <v>33</v>
      </c>
    </row>
    <row r="21" spans="1:11" x14ac:dyDescent="0.3">
      <c r="A21" t="s">
        <v>52</v>
      </c>
      <c r="B21" s="1">
        <v>43284</v>
      </c>
      <c r="C21" t="s">
        <v>16</v>
      </c>
      <c r="D21" t="s">
        <v>28</v>
      </c>
      <c r="E21">
        <v>9</v>
      </c>
      <c r="F21">
        <v>40</v>
      </c>
      <c r="G21">
        <v>360</v>
      </c>
      <c r="H21">
        <v>0.06</v>
      </c>
      <c r="I21">
        <v>21.599999999999998</v>
      </c>
      <c r="J21">
        <v>338</v>
      </c>
      <c r="K21" t="s">
        <v>36</v>
      </c>
    </row>
    <row r="22" spans="1:11" x14ac:dyDescent="0.3">
      <c r="A22" t="s">
        <v>53</v>
      </c>
      <c r="B22" s="1">
        <v>43284</v>
      </c>
      <c r="C22" t="s">
        <v>12</v>
      </c>
      <c r="D22" t="s">
        <v>32</v>
      </c>
      <c r="E22">
        <v>16</v>
      </c>
      <c r="F22">
        <v>80</v>
      </c>
      <c r="G22">
        <v>1280</v>
      </c>
      <c r="H22">
        <v>0.09</v>
      </c>
      <c r="I22">
        <v>115.19999999999999</v>
      </c>
      <c r="J22">
        <v>1165</v>
      </c>
      <c r="K22" t="s">
        <v>38</v>
      </c>
    </row>
    <row r="23" spans="1:11" x14ac:dyDescent="0.3">
      <c r="A23" t="s">
        <v>54</v>
      </c>
      <c r="B23" s="1">
        <v>43284</v>
      </c>
      <c r="C23" t="s">
        <v>12</v>
      </c>
      <c r="D23" t="s">
        <v>25</v>
      </c>
      <c r="E23">
        <v>10</v>
      </c>
      <c r="F23">
        <v>80</v>
      </c>
      <c r="G23">
        <v>800</v>
      </c>
      <c r="H23">
        <v>0.08</v>
      </c>
      <c r="I23">
        <v>64</v>
      </c>
      <c r="J23">
        <v>736</v>
      </c>
      <c r="K23" t="s">
        <v>40</v>
      </c>
    </row>
    <row r="24" spans="1:11" x14ac:dyDescent="0.3">
      <c r="A24" t="s">
        <v>55</v>
      </c>
      <c r="B24" s="1">
        <v>43284</v>
      </c>
      <c r="C24" t="s">
        <v>31</v>
      </c>
      <c r="D24" t="s">
        <v>25</v>
      </c>
      <c r="E24">
        <v>12</v>
      </c>
      <c r="F24">
        <v>16</v>
      </c>
      <c r="G24">
        <v>192</v>
      </c>
      <c r="H24">
        <v>0.11</v>
      </c>
      <c r="I24">
        <v>21.12</v>
      </c>
      <c r="J24">
        <v>171</v>
      </c>
      <c r="K24" t="s">
        <v>42</v>
      </c>
    </row>
    <row r="25" spans="1:11" x14ac:dyDescent="0.3">
      <c r="A25" t="s">
        <v>56</v>
      </c>
      <c r="B25" s="1">
        <v>43284</v>
      </c>
      <c r="C25" t="s">
        <v>35</v>
      </c>
      <c r="D25" t="s">
        <v>28</v>
      </c>
      <c r="E25">
        <v>6</v>
      </c>
      <c r="F25">
        <v>150</v>
      </c>
      <c r="G25">
        <v>900</v>
      </c>
      <c r="H25">
        <v>0.03</v>
      </c>
      <c r="I25">
        <v>27</v>
      </c>
      <c r="J25">
        <v>873</v>
      </c>
      <c r="K25" t="s">
        <v>44</v>
      </c>
    </row>
    <row r="26" spans="1:11" x14ac:dyDescent="0.3">
      <c r="A26" t="s">
        <v>57</v>
      </c>
      <c r="B26" s="1">
        <v>43284</v>
      </c>
      <c r="C26" t="s">
        <v>31</v>
      </c>
      <c r="D26" t="s">
        <v>25</v>
      </c>
      <c r="E26">
        <v>11</v>
      </c>
      <c r="F26">
        <v>16</v>
      </c>
      <c r="G26">
        <v>176</v>
      </c>
      <c r="H26">
        <v>0.04</v>
      </c>
      <c r="I26">
        <v>7.04</v>
      </c>
      <c r="J26">
        <v>169</v>
      </c>
      <c r="K26" t="s">
        <v>14</v>
      </c>
    </row>
    <row r="27" spans="1:11" x14ac:dyDescent="0.3">
      <c r="A27" t="s">
        <v>58</v>
      </c>
      <c r="B27" s="1">
        <v>43284</v>
      </c>
      <c r="C27" t="s">
        <v>12</v>
      </c>
      <c r="D27" t="s">
        <v>28</v>
      </c>
      <c r="E27">
        <v>22</v>
      </c>
      <c r="F27">
        <v>80</v>
      </c>
      <c r="G27">
        <v>1760</v>
      </c>
      <c r="H27">
        <v>0.03</v>
      </c>
      <c r="I27">
        <v>52.8</v>
      </c>
      <c r="J27">
        <v>1707</v>
      </c>
      <c r="K27" t="s">
        <v>18</v>
      </c>
    </row>
    <row r="28" spans="1:11" x14ac:dyDescent="0.3">
      <c r="A28" t="s">
        <v>59</v>
      </c>
      <c r="B28" s="1">
        <v>43284</v>
      </c>
      <c r="C28" t="s">
        <v>31</v>
      </c>
      <c r="D28" t="s">
        <v>17</v>
      </c>
      <c r="E28">
        <v>7</v>
      </c>
      <c r="F28">
        <v>16</v>
      </c>
      <c r="G28">
        <v>112</v>
      </c>
      <c r="H28">
        <v>0.08</v>
      </c>
      <c r="I28">
        <v>8.9600000000000009</v>
      </c>
      <c r="J28">
        <v>103</v>
      </c>
      <c r="K28" t="s">
        <v>21</v>
      </c>
    </row>
    <row r="29" spans="1:11" x14ac:dyDescent="0.3">
      <c r="A29" t="s">
        <v>60</v>
      </c>
      <c r="B29" s="1">
        <v>43284</v>
      </c>
      <c r="C29" t="s">
        <v>16</v>
      </c>
      <c r="D29" t="s">
        <v>28</v>
      </c>
      <c r="E29">
        <v>13</v>
      </c>
      <c r="F29">
        <v>40</v>
      </c>
      <c r="G29">
        <v>520</v>
      </c>
      <c r="H29">
        <v>0.09</v>
      </c>
      <c r="I29">
        <v>46.8</v>
      </c>
      <c r="J29">
        <v>473</v>
      </c>
      <c r="K29" t="s">
        <v>23</v>
      </c>
    </row>
    <row r="30" spans="1:11" x14ac:dyDescent="0.3">
      <c r="A30" t="s">
        <v>61</v>
      </c>
      <c r="B30" s="1">
        <v>43284</v>
      </c>
      <c r="C30" t="s">
        <v>20</v>
      </c>
      <c r="D30" t="s">
        <v>28</v>
      </c>
      <c r="E30">
        <v>8</v>
      </c>
      <c r="F30">
        <v>230</v>
      </c>
      <c r="G30">
        <v>1840</v>
      </c>
      <c r="H30">
        <v>0.05</v>
      </c>
      <c r="I30">
        <v>92</v>
      </c>
      <c r="J30">
        <v>1748</v>
      </c>
      <c r="K30" t="s">
        <v>26</v>
      </c>
    </row>
    <row r="31" spans="1:11" x14ac:dyDescent="0.3">
      <c r="A31" t="s">
        <v>62</v>
      </c>
      <c r="B31" s="1">
        <v>43284</v>
      </c>
      <c r="C31" t="s">
        <v>31</v>
      </c>
      <c r="D31" t="s">
        <v>28</v>
      </c>
      <c r="E31">
        <v>14</v>
      </c>
      <c r="F31">
        <v>16</v>
      </c>
      <c r="G31">
        <v>224</v>
      </c>
      <c r="H31">
        <v>0.12</v>
      </c>
      <c r="I31">
        <v>26.88</v>
      </c>
      <c r="J31">
        <v>197</v>
      </c>
      <c r="K31" t="s">
        <v>29</v>
      </c>
    </row>
    <row r="32" spans="1:11" x14ac:dyDescent="0.3">
      <c r="A32" t="s">
        <v>63</v>
      </c>
      <c r="B32" s="1">
        <v>43284</v>
      </c>
      <c r="C32" t="s">
        <v>16</v>
      </c>
      <c r="D32" t="s">
        <v>32</v>
      </c>
      <c r="E32">
        <v>16</v>
      </c>
      <c r="F32">
        <v>40</v>
      </c>
      <c r="G32">
        <v>640</v>
      </c>
      <c r="H32">
        <v>0.09</v>
      </c>
      <c r="I32">
        <v>57.599999999999994</v>
      </c>
      <c r="J32">
        <v>582</v>
      </c>
      <c r="K32" t="s">
        <v>33</v>
      </c>
    </row>
    <row r="33" spans="1:11" x14ac:dyDescent="0.3">
      <c r="A33" t="s">
        <v>64</v>
      </c>
      <c r="B33" s="1">
        <v>43285</v>
      </c>
      <c r="C33" t="s">
        <v>35</v>
      </c>
      <c r="D33" t="s">
        <v>17</v>
      </c>
      <c r="E33">
        <v>16</v>
      </c>
      <c r="F33">
        <v>150</v>
      </c>
      <c r="G33">
        <v>2400</v>
      </c>
      <c r="H33">
        <v>0.05</v>
      </c>
      <c r="I33">
        <v>120</v>
      </c>
      <c r="J33">
        <v>2280</v>
      </c>
      <c r="K33" t="s">
        <v>36</v>
      </c>
    </row>
    <row r="34" spans="1:11" x14ac:dyDescent="0.3">
      <c r="A34" t="s">
        <v>65</v>
      </c>
      <c r="B34" s="1">
        <v>43285</v>
      </c>
      <c r="C34" t="s">
        <v>16</v>
      </c>
      <c r="D34" t="s">
        <v>17</v>
      </c>
      <c r="E34">
        <v>12</v>
      </c>
      <c r="F34">
        <v>40</v>
      </c>
      <c r="G34">
        <v>480</v>
      </c>
      <c r="H34">
        <v>0.1</v>
      </c>
      <c r="I34">
        <v>48</v>
      </c>
      <c r="J34">
        <v>432</v>
      </c>
      <c r="K34" t="s">
        <v>38</v>
      </c>
    </row>
    <row r="35" spans="1:11" x14ac:dyDescent="0.3">
      <c r="A35" t="s">
        <v>66</v>
      </c>
      <c r="B35" s="1">
        <v>43285</v>
      </c>
      <c r="C35" t="s">
        <v>12</v>
      </c>
      <c r="D35" t="s">
        <v>32</v>
      </c>
      <c r="E35">
        <v>17</v>
      </c>
      <c r="F35">
        <v>80</v>
      </c>
      <c r="G35">
        <v>1360</v>
      </c>
      <c r="H35">
        <v>7.0000000000000007E-2</v>
      </c>
      <c r="I35">
        <v>95.2</v>
      </c>
      <c r="J35">
        <v>1265</v>
      </c>
      <c r="K35" t="s">
        <v>40</v>
      </c>
    </row>
    <row r="36" spans="1:11" x14ac:dyDescent="0.3">
      <c r="A36" t="s">
        <v>67</v>
      </c>
      <c r="B36" s="1">
        <v>43285</v>
      </c>
      <c r="C36" t="s">
        <v>20</v>
      </c>
      <c r="D36" t="s">
        <v>28</v>
      </c>
      <c r="E36">
        <v>19</v>
      </c>
      <c r="F36">
        <v>230</v>
      </c>
      <c r="G36">
        <v>4370</v>
      </c>
      <c r="H36">
        <v>0.06</v>
      </c>
      <c r="I36">
        <v>262.2</v>
      </c>
      <c r="J36">
        <v>4108</v>
      </c>
      <c r="K36" t="s">
        <v>42</v>
      </c>
    </row>
    <row r="37" spans="1:11" x14ac:dyDescent="0.3">
      <c r="A37" t="s">
        <v>68</v>
      </c>
      <c r="B37" s="1">
        <v>43285</v>
      </c>
      <c r="C37" t="s">
        <v>20</v>
      </c>
      <c r="D37" t="s">
        <v>32</v>
      </c>
      <c r="E37">
        <v>22</v>
      </c>
      <c r="F37">
        <v>230</v>
      </c>
      <c r="G37">
        <v>5060</v>
      </c>
      <c r="H37">
        <v>0.1</v>
      </c>
      <c r="I37">
        <v>506</v>
      </c>
      <c r="J37">
        <v>4554</v>
      </c>
      <c r="K37" t="s">
        <v>44</v>
      </c>
    </row>
    <row r="38" spans="1:11" x14ac:dyDescent="0.3">
      <c r="A38" t="s">
        <v>69</v>
      </c>
      <c r="B38" s="1">
        <v>43285</v>
      </c>
      <c r="C38" t="s">
        <v>16</v>
      </c>
      <c r="D38" t="s">
        <v>28</v>
      </c>
      <c r="E38">
        <v>22</v>
      </c>
      <c r="F38">
        <v>40</v>
      </c>
      <c r="G38">
        <v>880</v>
      </c>
      <c r="H38">
        <v>0.01</v>
      </c>
      <c r="I38">
        <v>8.8000000000000007</v>
      </c>
      <c r="J38">
        <v>871</v>
      </c>
      <c r="K38" t="s">
        <v>14</v>
      </c>
    </row>
    <row r="39" spans="1:11" x14ac:dyDescent="0.3">
      <c r="A39" t="s">
        <v>70</v>
      </c>
      <c r="B39" s="1">
        <v>43285</v>
      </c>
      <c r="C39" t="s">
        <v>31</v>
      </c>
      <c r="D39" t="s">
        <v>28</v>
      </c>
      <c r="E39">
        <v>10</v>
      </c>
      <c r="F39">
        <v>16</v>
      </c>
      <c r="G39">
        <v>160</v>
      </c>
      <c r="H39">
        <v>0.04</v>
      </c>
      <c r="I39">
        <v>6.4</v>
      </c>
      <c r="J39">
        <v>154</v>
      </c>
      <c r="K39" t="s">
        <v>18</v>
      </c>
    </row>
    <row r="40" spans="1:11" x14ac:dyDescent="0.3">
      <c r="A40" t="s">
        <v>71</v>
      </c>
      <c r="B40" s="1">
        <v>43285</v>
      </c>
      <c r="C40" t="s">
        <v>16</v>
      </c>
      <c r="D40" t="s">
        <v>17</v>
      </c>
      <c r="E40">
        <v>4</v>
      </c>
      <c r="F40">
        <v>40</v>
      </c>
      <c r="G40">
        <v>160</v>
      </c>
      <c r="H40">
        <v>0.12</v>
      </c>
      <c r="I40">
        <v>19.2</v>
      </c>
      <c r="J40">
        <v>141</v>
      </c>
      <c r="K40" t="s">
        <v>21</v>
      </c>
    </row>
    <row r="41" spans="1:11" x14ac:dyDescent="0.3">
      <c r="A41" t="s">
        <v>72</v>
      </c>
      <c r="B41" s="1">
        <v>43285</v>
      </c>
      <c r="C41" t="s">
        <v>16</v>
      </c>
      <c r="D41" t="s">
        <v>32</v>
      </c>
      <c r="E41">
        <v>20</v>
      </c>
      <c r="F41">
        <v>40</v>
      </c>
      <c r="G41">
        <v>800</v>
      </c>
      <c r="H41">
        <v>0.05</v>
      </c>
      <c r="I41">
        <v>40</v>
      </c>
      <c r="J41">
        <v>760</v>
      </c>
      <c r="K41" t="s">
        <v>23</v>
      </c>
    </row>
    <row r="42" spans="1:11" x14ac:dyDescent="0.3">
      <c r="A42" t="s">
        <v>73</v>
      </c>
      <c r="B42" s="1">
        <v>43286</v>
      </c>
      <c r="C42" t="s">
        <v>20</v>
      </c>
      <c r="D42" t="s">
        <v>28</v>
      </c>
      <c r="E42">
        <v>23</v>
      </c>
      <c r="F42">
        <v>230</v>
      </c>
      <c r="G42">
        <v>5290</v>
      </c>
      <c r="H42">
        <v>0.06</v>
      </c>
      <c r="I42">
        <v>317.39999999999998</v>
      </c>
      <c r="J42">
        <v>4973</v>
      </c>
      <c r="K42" t="s">
        <v>26</v>
      </c>
    </row>
    <row r="43" spans="1:11" x14ac:dyDescent="0.3">
      <c r="A43" t="s">
        <v>74</v>
      </c>
      <c r="B43" s="1">
        <v>43286</v>
      </c>
      <c r="C43" t="s">
        <v>16</v>
      </c>
      <c r="D43" t="s">
        <v>25</v>
      </c>
      <c r="E43">
        <v>20</v>
      </c>
      <c r="F43">
        <v>40</v>
      </c>
      <c r="G43">
        <v>800</v>
      </c>
      <c r="H43">
        <v>0.01</v>
      </c>
      <c r="I43">
        <v>8</v>
      </c>
      <c r="J43">
        <v>792</v>
      </c>
      <c r="K43" t="s">
        <v>29</v>
      </c>
    </row>
    <row r="44" spans="1:11" x14ac:dyDescent="0.3">
      <c r="A44" t="s">
        <v>75</v>
      </c>
      <c r="B44" s="1">
        <v>43286</v>
      </c>
      <c r="C44" t="s">
        <v>35</v>
      </c>
      <c r="D44" t="s">
        <v>25</v>
      </c>
      <c r="E44">
        <v>20</v>
      </c>
      <c r="F44">
        <v>150</v>
      </c>
      <c r="G44">
        <v>3000</v>
      </c>
      <c r="H44">
        <v>0.04</v>
      </c>
      <c r="I44">
        <v>120</v>
      </c>
      <c r="J44">
        <v>2880</v>
      </c>
      <c r="K44" t="s">
        <v>33</v>
      </c>
    </row>
    <row r="45" spans="1:11" x14ac:dyDescent="0.3">
      <c r="A45" t="s">
        <v>76</v>
      </c>
      <c r="B45" s="1">
        <v>43286</v>
      </c>
      <c r="C45" t="s">
        <v>12</v>
      </c>
      <c r="D45" t="s">
        <v>17</v>
      </c>
      <c r="E45">
        <v>9</v>
      </c>
      <c r="F45">
        <v>80</v>
      </c>
      <c r="G45">
        <v>720</v>
      </c>
      <c r="H45">
        <v>0.03</v>
      </c>
      <c r="I45">
        <v>21.599999999999998</v>
      </c>
      <c r="J45">
        <v>698</v>
      </c>
      <c r="K45" t="s">
        <v>36</v>
      </c>
    </row>
    <row r="46" spans="1:11" x14ac:dyDescent="0.3">
      <c r="A46" t="s">
        <v>77</v>
      </c>
      <c r="B46" s="1">
        <v>43286</v>
      </c>
      <c r="C46" t="s">
        <v>20</v>
      </c>
      <c r="D46" t="s">
        <v>13</v>
      </c>
      <c r="E46">
        <v>7</v>
      </c>
      <c r="F46">
        <v>230</v>
      </c>
      <c r="G46">
        <v>1610</v>
      </c>
      <c r="H46">
        <v>0.02</v>
      </c>
      <c r="I46">
        <v>32.200000000000003</v>
      </c>
      <c r="J46">
        <v>1578</v>
      </c>
      <c r="K46" t="s">
        <v>38</v>
      </c>
    </row>
    <row r="47" spans="1:11" x14ac:dyDescent="0.3">
      <c r="A47" t="s">
        <v>78</v>
      </c>
      <c r="B47" s="1">
        <v>43286</v>
      </c>
      <c r="C47" t="s">
        <v>20</v>
      </c>
      <c r="D47" t="s">
        <v>13</v>
      </c>
      <c r="E47">
        <v>3</v>
      </c>
      <c r="F47">
        <v>230</v>
      </c>
      <c r="G47">
        <v>690</v>
      </c>
      <c r="H47">
        <v>0.06</v>
      </c>
      <c r="I47">
        <v>41.4</v>
      </c>
      <c r="J47">
        <v>649</v>
      </c>
      <c r="K47" t="s">
        <v>40</v>
      </c>
    </row>
    <row r="48" spans="1:11" x14ac:dyDescent="0.3">
      <c r="A48" t="s">
        <v>79</v>
      </c>
      <c r="B48" s="1">
        <v>43286</v>
      </c>
      <c r="C48" t="s">
        <v>35</v>
      </c>
      <c r="D48" t="s">
        <v>13</v>
      </c>
      <c r="E48">
        <v>13</v>
      </c>
      <c r="F48">
        <v>150</v>
      </c>
      <c r="G48">
        <v>1950</v>
      </c>
      <c r="H48">
        <v>0.05</v>
      </c>
      <c r="I48">
        <v>97.5</v>
      </c>
      <c r="J48">
        <v>1852</v>
      </c>
      <c r="K48" t="s">
        <v>42</v>
      </c>
    </row>
    <row r="49" spans="1:11" x14ac:dyDescent="0.3">
      <c r="A49" t="s">
        <v>80</v>
      </c>
      <c r="B49" s="1">
        <v>43286</v>
      </c>
      <c r="C49" t="s">
        <v>12</v>
      </c>
      <c r="D49" t="s">
        <v>13</v>
      </c>
      <c r="E49">
        <v>17</v>
      </c>
      <c r="F49">
        <v>80</v>
      </c>
      <c r="G49">
        <v>1360</v>
      </c>
      <c r="H49">
        <v>0.09</v>
      </c>
      <c r="I49">
        <v>122.39999999999999</v>
      </c>
      <c r="J49">
        <v>1238</v>
      </c>
      <c r="K49" t="s">
        <v>44</v>
      </c>
    </row>
    <row r="50" spans="1:11" x14ac:dyDescent="0.3">
      <c r="A50" t="s">
        <v>81</v>
      </c>
      <c r="B50" s="1">
        <v>43287</v>
      </c>
      <c r="C50" t="s">
        <v>16</v>
      </c>
      <c r="D50" t="s">
        <v>28</v>
      </c>
      <c r="E50">
        <v>18</v>
      </c>
      <c r="F50">
        <v>40</v>
      </c>
      <c r="G50">
        <v>720</v>
      </c>
      <c r="H50">
        <v>0.06</v>
      </c>
      <c r="I50">
        <v>43.199999999999996</v>
      </c>
      <c r="J50">
        <v>677</v>
      </c>
      <c r="K50" t="s">
        <v>14</v>
      </c>
    </row>
    <row r="51" spans="1:11" x14ac:dyDescent="0.3">
      <c r="A51" t="s">
        <v>82</v>
      </c>
      <c r="B51" s="1">
        <v>43287</v>
      </c>
      <c r="C51" t="s">
        <v>31</v>
      </c>
      <c r="D51" t="s">
        <v>25</v>
      </c>
      <c r="E51">
        <v>23</v>
      </c>
      <c r="F51">
        <v>16</v>
      </c>
      <c r="G51">
        <v>368</v>
      </c>
      <c r="H51">
        <v>0.11</v>
      </c>
      <c r="I51">
        <v>40.479999999999997</v>
      </c>
      <c r="J51">
        <v>328</v>
      </c>
      <c r="K51" t="s">
        <v>18</v>
      </c>
    </row>
    <row r="52" spans="1:11" x14ac:dyDescent="0.3">
      <c r="A52" t="s">
        <v>83</v>
      </c>
      <c r="B52" s="1">
        <v>43287</v>
      </c>
      <c r="C52" t="s">
        <v>20</v>
      </c>
      <c r="D52" t="s">
        <v>25</v>
      </c>
      <c r="E52">
        <v>20</v>
      </c>
      <c r="F52">
        <v>230</v>
      </c>
      <c r="G52">
        <v>4600</v>
      </c>
      <c r="H52">
        <v>0.06</v>
      </c>
      <c r="I52">
        <v>276</v>
      </c>
      <c r="J52">
        <v>4324</v>
      </c>
      <c r="K52" t="s">
        <v>21</v>
      </c>
    </row>
    <row r="53" spans="1:11" x14ac:dyDescent="0.3">
      <c r="A53" t="s">
        <v>84</v>
      </c>
      <c r="B53" s="1">
        <v>43287</v>
      </c>
      <c r="C53" t="s">
        <v>31</v>
      </c>
      <c r="D53" t="s">
        <v>13</v>
      </c>
      <c r="E53">
        <v>11</v>
      </c>
      <c r="F53">
        <v>16</v>
      </c>
      <c r="G53">
        <v>176</v>
      </c>
      <c r="H53">
        <v>0.09</v>
      </c>
      <c r="I53">
        <v>15.84</v>
      </c>
      <c r="J53">
        <v>160</v>
      </c>
      <c r="K53" t="s">
        <v>23</v>
      </c>
    </row>
    <row r="54" spans="1:11" x14ac:dyDescent="0.3">
      <c r="A54" t="s">
        <v>85</v>
      </c>
      <c r="B54" s="1">
        <v>43287</v>
      </c>
      <c r="C54" t="s">
        <v>35</v>
      </c>
      <c r="D54" t="s">
        <v>32</v>
      </c>
      <c r="E54">
        <v>15</v>
      </c>
      <c r="F54">
        <v>150</v>
      </c>
      <c r="G54">
        <v>2250</v>
      </c>
      <c r="H54">
        <v>7.0000000000000007E-2</v>
      </c>
      <c r="I54">
        <v>157.50000000000003</v>
      </c>
      <c r="J54">
        <v>2092</v>
      </c>
      <c r="K54" t="s">
        <v>26</v>
      </c>
    </row>
    <row r="55" spans="1:11" x14ac:dyDescent="0.3">
      <c r="A55" t="s">
        <v>86</v>
      </c>
      <c r="B55" s="1">
        <v>43287</v>
      </c>
      <c r="C55" t="s">
        <v>20</v>
      </c>
      <c r="D55" t="s">
        <v>17</v>
      </c>
      <c r="E55">
        <v>6</v>
      </c>
      <c r="F55">
        <v>230</v>
      </c>
      <c r="G55">
        <v>1380</v>
      </c>
      <c r="H55">
        <v>0.1</v>
      </c>
      <c r="I55">
        <v>138</v>
      </c>
      <c r="J55">
        <v>1242</v>
      </c>
      <c r="K55" t="s">
        <v>29</v>
      </c>
    </row>
    <row r="56" spans="1:11" x14ac:dyDescent="0.3">
      <c r="A56" t="s">
        <v>87</v>
      </c>
      <c r="B56" s="1">
        <v>43287</v>
      </c>
      <c r="C56" t="s">
        <v>16</v>
      </c>
      <c r="D56" t="s">
        <v>13</v>
      </c>
      <c r="E56">
        <v>22</v>
      </c>
      <c r="F56">
        <v>40</v>
      </c>
      <c r="G56">
        <v>880</v>
      </c>
      <c r="H56">
        <v>0.02</v>
      </c>
      <c r="I56">
        <v>17.600000000000001</v>
      </c>
      <c r="J56">
        <v>862</v>
      </c>
      <c r="K56" t="s">
        <v>33</v>
      </c>
    </row>
    <row r="57" spans="1:11" x14ac:dyDescent="0.3">
      <c r="A57" t="s">
        <v>88</v>
      </c>
      <c r="B57" s="1">
        <v>43287</v>
      </c>
      <c r="C57" t="s">
        <v>16</v>
      </c>
      <c r="D57" t="s">
        <v>13</v>
      </c>
      <c r="E57">
        <v>15</v>
      </c>
      <c r="F57">
        <v>40</v>
      </c>
      <c r="G57">
        <v>600</v>
      </c>
      <c r="H57">
        <v>0.06</v>
      </c>
      <c r="I57">
        <v>36</v>
      </c>
      <c r="J57">
        <v>564</v>
      </c>
      <c r="K57" t="s">
        <v>36</v>
      </c>
    </row>
    <row r="58" spans="1:11" x14ac:dyDescent="0.3">
      <c r="A58" t="s">
        <v>89</v>
      </c>
      <c r="B58" s="1">
        <v>43287</v>
      </c>
      <c r="C58" t="s">
        <v>31</v>
      </c>
      <c r="D58" t="s">
        <v>25</v>
      </c>
      <c r="E58">
        <v>12</v>
      </c>
      <c r="F58">
        <v>16</v>
      </c>
      <c r="G58">
        <v>192</v>
      </c>
      <c r="H58">
        <v>0.03</v>
      </c>
      <c r="I58">
        <v>5.76</v>
      </c>
      <c r="J58">
        <v>186</v>
      </c>
      <c r="K58" t="s">
        <v>38</v>
      </c>
    </row>
    <row r="59" spans="1:11" x14ac:dyDescent="0.3">
      <c r="A59" t="s">
        <v>90</v>
      </c>
      <c r="B59" s="1">
        <v>43287</v>
      </c>
      <c r="C59" t="s">
        <v>31</v>
      </c>
      <c r="D59" t="s">
        <v>32</v>
      </c>
      <c r="E59">
        <v>22</v>
      </c>
      <c r="F59">
        <v>16</v>
      </c>
      <c r="G59">
        <v>352</v>
      </c>
      <c r="H59">
        <v>0.12</v>
      </c>
      <c r="I59">
        <v>42.239999999999995</v>
      </c>
      <c r="J59">
        <v>310</v>
      </c>
      <c r="K59" t="s">
        <v>40</v>
      </c>
    </row>
    <row r="60" spans="1:11" x14ac:dyDescent="0.3">
      <c r="A60" t="s">
        <v>91</v>
      </c>
      <c r="B60" s="1">
        <v>43287</v>
      </c>
      <c r="C60" t="s">
        <v>12</v>
      </c>
      <c r="D60" t="s">
        <v>13</v>
      </c>
      <c r="E60">
        <v>21</v>
      </c>
      <c r="F60">
        <v>80</v>
      </c>
      <c r="G60">
        <v>1680</v>
      </c>
      <c r="H60">
        <v>0.04</v>
      </c>
      <c r="I60">
        <v>67.2</v>
      </c>
      <c r="J60">
        <v>1613</v>
      </c>
      <c r="K60" t="s">
        <v>42</v>
      </c>
    </row>
    <row r="61" spans="1:11" x14ac:dyDescent="0.3">
      <c r="A61" t="s">
        <v>92</v>
      </c>
      <c r="B61" s="1">
        <v>43287</v>
      </c>
      <c r="C61" t="s">
        <v>35</v>
      </c>
      <c r="D61" t="s">
        <v>13</v>
      </c>
      <c r="E61">
        <v>22</v>
      </c>
      <c r="F61">
        <v>150</v>
      </c>
      <c r="G61">
        <v>3300</v>
      </c>
      <c r="H61">
        <v>0.05</v>
      </c>
      <c r="I61">
        <v>165</v>
      </c>
      <c r="J61">
        <v>3135</v>
      </c>
      <c r="K61" t="s">
        <v>44</v>
      </c>
    </row>
    <row r="62" spans="1:11" x14ac:dyDescent="0.3">
      <c r="A62" t="s">
        <v>93</v>
      </c>
      <c r="B62" s="1">
        <v>43287</v>
      </c>
      <c r="C62" t="s">
        <v>12</v>
      </c>
      <c r="D62" t="s">
        <v>32</v>
      </c>
      <c r="E62">
        <v>21</v>
      </c>
      <c r="F62">
        <v>80</v>
      </c>
      <c r="G62">
        <v>1680</v>
      </c>
      <c r="H62">
        <v>0.09</v>
      </c>
      <c r="I62">
        <v>151.19999999999999</v>
      </c>
      <c r="J62">
        <v>1529</v>
      </c>
      <c r="K62" t="s">
        <v>14</v>
      </c>
    </row>
    <row r="63" spans="1:11" x14ac:dyDescent="0.3">
      <c r="A63" t="s">
        <v>94</v>
      </c>
      <c r="B63" s="1">
        <v>43287</v>
      </c>
      <c r="C63" t="s">
        <v>12</v>
      </c>
      <c r="D63" t="s">
        <v>28</v>
      </c>
      <c r="E63">
        <v>10</v>
      </c>
      <c r="F63">
        <v>80</v>
      </c>
      <c r="G63">
        <v>800</v>
      </c>
      <c r="H63">
        <v>0.1</v>
      </c>
      <c r="I63">
        <v>80</v>
      </c>
      <c r="J63">
        <v>720</v>
      </c>
      <c r="K63" t="s">
        <v>18</v>
      </c>
    </row>
    <row r="64" spans="1:11" x14ac:dyDescent="0.3">
      <c r="A64" t="s">
        <v>95</v>
      </c>
      <c r="B64" s="1">
        <v>43287</v>
      </c>
      <c r="C64" t="s">
        <v>20</v>
      </c>
      <c r="D64" t="s">
        <v>17</v>
      </c>
      <c r="E64">
        <v>15</v>
      </c>
      <c r="F64">
        <v>230</v>
      </c>
      <c r="G64">
        <v>3450</v>
      </c>
      <c r="H64">
        <v>0.09</v>
      </c>
      <c r="I64">
        <v>310.5</v>
      </c>
      <c r="J64">
        <v>3140</v>
      </c>
      <c r="K64" t="s">
        <v>21</v>
      </c>
    </row>
    <row r="65" spans="1:11" x14ac:dyDescent="0.3">
      <c r="A65" t="s">
        <v>96</v>
      </c>
      <c r="B65" s="1">
        <v>43288</v>
      </c>
      <c r="C65" t="s">
        <v>12</v>
      </c>
      <c r="D65" t="s">
        <v>13</v>
      </c>
      <c r="E65">
        <v>14</v>
      </c>
      <c r="F65">
        <v>80</v>
      </c>
      <c r="G65">
        <v>1120</v>
      </c>
      <c r="H65">
        <v>0.08</v>
      </c>
      <c r="I65">
        <v>89.600000000000009</v>
      </c>
      <c r="J65">
        <v>1030</v>
      </c>
      <c r="K65" t="s">
        <v>23</v>
      </c>
    </row>
    <row r="66" spans="1:11" x14ac:dyDescent="0.3">
      <c r="A66" t="s">
        <v>97</v>
      </c>
      <c r="B66" s="1">
        <v>43288</v>
      </c>
      <c r="C66" t="s">
        <v>12</v>
      </c>
      <c r="D66" t="s">
        <v>32</v>
      </c>
      <c r="E66">
        <v>10</v>
      </c>
      <c r="F66">
        <v>80</v>
      </c>
      <c r="G66">
        <v>800</v>
      </c>
      <c r="H66">
        <v>0.06</v>
      </c>
      <c r="I66">
        <v>48</v>
      </c>
      <c r="J66">
        <v>752</v>
      </c>
      <c r="K66" t="s">
        <v>26</v>
      </c>
    </row>
    <row r="67" spans="1:11" x14ac:dyDescent="0.3">
      <c r="A67" t="s">
        <v>98</v>
      </c>
      <c r="B67" s="1">
        <v>43288</v>
      </c>
      <c r="C67" t="s">
        <v>35</v>
      </c>
      <c r="D67" t="s">
        <v>13</v>
      </c>
      <c r="E67">
        <v>5</v>
      </c>
      <c r="F67">
        <v>150</v>
      </c>
      <c r="G67">
        <v>750</v>
      </c>
      <c r="H67">
        <v>0.11</v>
      </c>
      <c r="I67">
        <v>82.5</v>
      </c>
      <c r="J67">
        <v>668</v>
      </c>
      <c r="K67" t="s">
        <v>29</v>
      </c>
    </row>
    <row r="68" spans="1:11" x14ac:dyDescent="0.3">
      <c r="A68" t="s">
        <v>99</v>
      </c>
      <c r="B68" s="1">
        <v>43288</v>
      </c>
      <c r="C68" t="s">
        <v>20</v>
      </c>
      <c r="D68" t="s">
        <v>28</v>
      </c>
      <c r="E68">
        <v>3</v>
      </c>
      <c r="F68">
        <v>230</v>
      </c>
      <c r="G68">
        <v>690</v>
      </c>
      <c r="H68">
        <v>0.01</v>
      </c>
      <c r="I68">
        <v>6.9</v>
      </c>
      <c r="J68">
        <v>683</v>
      </c>
      <c r="K68" t="s">
        <v>33</v>
      </c>
    </row>
    <row r="69" spans="1:11" x14ac:dyDescent="0.3">
      <c r="A69" t="s">
        <v>100</v>
      </c>
      <c r="B69" s="1">
        <v>43288</v>
      </c>
      <c r="C69" t="s">
        <v>16</v>
      </c>
      <c r="D69" t="s">
        <v>28</v>
      </c>
      <c r="E69">
        <v>4</v>
      </c>
      <c r="F69">
        <v>40</v>
      </c>
      <c r="G69">
        <v>160</v>
      </c>
      <c r="H69">
        <v>0.05</v>
      </c>
      <c r="I69">
        <v>8</v>
      </c>
      <c r="J69">
        <v>152</v>
      </c>
      <c r="K69" t="s">
        <v>36</v>
      </c>
    </row>
    <row r="70" spans="1:11" x14ac:dyDescent="0.3">
      <c r="A70" t="s">
        <v>101</v>
      </c>
      <c r="B70" s="1">
        <v>43288</v>
      </c>
      <c r="C70" t="s">
        <v>35</v>
      </c>
      <c r="D70" t="s">
        <v>25</v>
      </c>
      <c r="E70">
        <v>18</v>
      </c>
      <c r="F70">
        <v>150</v>
      </c>
      <c r="G70">
        <v>2700</v>
      </c>
      <c r="H70">
        <v>0.06</v>
      </c>
      <c r="I70">
        <v>162</v>
      </c>
      <c r="J70">
        <v>2538</v>
      </c>
      <c r="K70" t="s">
        <v>38</v>
      </c>
    </row>
    <row r="71" spans="1:11" x14ac:dyDescent="0.3">
      <c r="A71" t="s">
        <v>102</v>
      </c>
      <c r="B71" s="1">
        <v>43288</v>
      </c>
      <c r="C71" t="s">
        <v>16</v>
      </c>
      <c r="D71" t="s">
        <v>32</v>
      </c>
      <c r="E71">
        <v>20</v>
      </c>
      <c r="F71">
        <v>40</v>
      </c>
      <c r="G71">
        <v>800</v>
      </c>
      <c r="H71">
        <v>0.1</v>
      </c>
      <c r="I71">
        <v>80</v>
      </c>
      <c r="J71">
        <v>720</v>
      </c>
      <c r="K71" t="s">
        <v>40</v>
      </c>
    </row>
    <row r="72" spans="1:11" x14ac:dyDescent="0.3">
      <c r="A72" t="s">
        <v>103</v>
      </c>
      <c r="B72" s="1">
        <v>43288</v>
      </c>
      <c r="C72" t="s">
        <v>12</v>
      </c>
      <c r="D72" t="s">
        <v>28</v>
      </c>
      <c r="E72">
        <v>16</v>
      </c>
      <c r="F72">
        <v>80</v>
      </c>
      <c r="G72">
        <v>1280</v>
      </c>
      <c r="H72">
        <v>0.05</v>
      </c>
      <c r="I72">
        <v>64</v>
      </c>
      <c r="J72">
        <v>1216</v>
      </c>
      <c r="K72" t="s">
        <v>14</v>
      </c>
    </row>
    <row r="73" spans="1:11" x14ac:dyDescent="0.3">
      <c r="A73" t="s">
        <v>104</v>
      </c>
      <c r="B73" s="1">
        <v>43288</v>
      </c>
      <c r="C73" t="s">
        <v>16</v>
      </c>
      <c r="D73" t="s">
        <v>25</v>
      </c>
      <c r="E73">
        <v>4</v>
      </c>
      <c r="F73">
        <v>40</v>
      </c>
      <c r="G73">
        <v>160</v>
      </c>
      <c r="H73">
        <v>0.06</v>
      </c>
      <c r="I73">
        <v>9.6</v>
      </c>
      <c r="J73">
        <v>150</v>
      </c>
      <c r="K73" t="s">
        <v>18</v>
      </c>
    </row>
    <row r="74" spans="1:11" x14ac:dyDescent="0.3">
      <c r="A74" t="s">
        <v>105</v>
      </c>
      <c r="B74" s="1">
        <v>43288</v>
      </c>
      <c r="C74" t="s">
        <v>16</v>
      </c>
      <c r="D74" t="s">
        <v>17</v>
      </c>
      <c r="E74">
        <v>4</v>
      </c>
      <c r="F74">
        <v>40</v>
      </c>
      <c r="G74">
        <v>160</v>
      </c>
      <c r="H74">
        <v>0.03</v>
      </c>
      <c r="I74">
        <v>4.8</v>
      </c>
      <c r="J74">
        <v>155</v>
      </c>
      <c r="K74" t="s">
        <v>21</v>
      </c>
    </row>
    <row r="75" spans="1:11" x14ac:dyDescent="0.3">
      <c r="A75" t="s">
        <v>106</v>
      </c>
      <c r="B75" s="1">
        <v>43288</v>
      </c>
      <c r="C75" t="s">
        <v>16</v>
      </c>
      <c r="D75" t="s">
        <v>17</v>
      </c>
      <c r="E75">
        <v>15</v>
      </c>
      <c r="F75">
        <v>40</v>
      </c>
      <c r="G75">
        <v>600</v>
      </c>
      <c r="H75">
        <v>0.02</v>
      </c>
      <c r="I75">
        <v>12</v>
      </c>
      <c r="J75">
        <v>588</v>
      </c>
      <c r="K75" t="s">
        <v>23</v>
      </c>
    </row>
    <row r="76" spans="1:11" x14ac:dyDescent="0.3">
      <c r="A76" t="s">
        <v>107</v>
      </c>
      <c r="B76" s="1">
        <v>43288</v>
      </c>
      <c r="C76" t="s">
        <v>16</v>
      </c>
      <c r="D76" t="s">
        <v>25</v>
      </c>
      <c r="E76">
        <v>20</v>
      </c>
      <c r="F76">
        <v>40</v>
      </c>
      <c r="G76">
        <v>800</v>
      </c>
      <c r="H76">
        <v>0.01</v>
      </c>
      <c r="I76">
        <v>8</v>
      </c>
      <c r="J76">
        <v>792</v>
      </c>
      <c r="K76" t="s">
        <v>26</v>
      </c>
    </row>
    <row r="77" spans="1:11" x14ac:dyDescent="0.3">
      <c r="A77" t="s">
        <v>108</v>
      </c>
      <c r="B77" s="1">
        <v>43288</v>
      </c>
      <c r="C77" t="s">
        <v>31</v>
      </c>
      <c r="D77" t="s">
        <v>32</v>
      </c>
      <c r="E77">
        <v>14</v>
      </c>
      <c r="F77">
        <v>16</v>
      </c>
      <c r="G77">
        <v>224</v>
      </c>
      <c r="H77">
        <v>0.06</v>
      </c>
      <c r="I77">
        <v>13.44</v>
      </c>
      <c r="J77">
        <v>211</v>
      </c>
      <c r="K77" t="s">
        <v>29</v>
      </c>
    </row>
    <row r="78" spans="1:11" x14ac:dyDescent="0.3">
      <c r="A78" t="s">
        <v>109</v>
      </c>
      <c r="B78" s="1">
        <v>43289</v>
      </c>
      <c r="C78" t="s">
        <v>35</v>
      </c>
      <c r="D78" t="s">
        <v>25</v>
      </c>
      <c r="E78">
        <v>11</v>
      </c>
      <c r="F78">
        <v>150</v>
      </c>
      <c r="G78">
        <v>1650</v>
      </c>
      <c r="H78">
        <v>0.11</v>
      </c>
      <c r="I78">
        <v>181.5</v>
      </c>
      <c r="J78">
        <v>1468</v>
      </c>
      <c r="K78" t="s">
        <v>33</v>
      </c>
    </row>
    <row r="79" spans="1:11" x14ac:dyDescent="0.3">
      <c r="A79" t="s">
        <v>110</v>
      </c>
      <c r="B79" s="1">
        <v>43289</v>
      </c>
      <c r="C79" t="s">
        <v>35</v>
      </c>
      <c r="D79" t="s">
        <v>25</v>
      </c>
      <c r="E79">
        <v>9</v>
      </c>
      <c r="F79">
        <v>150</v>
      </c>
      <c r="G79">
        <v>1350</v>
      </c>
      <c r="H79">
        <v>0.02</v>
      </c>
      <c r="I79">
        <v>27</v>
      </c>
      <c r="J79">
        <v>1323</v>
      </c>
      <c r="K79" t="s">
        <v>36</v>
      </c>
    </row>
    <row r="80" spans="1:11" x14ac:dyDescent="0.3">
      <c r="A80" t="s">
        <v>111</v>
      </c>
      <c r="B80" s="1">
        <v>43289</v>
      </c>
      <c r="C80" t="s">
        <v>31</v>
      </c>
      <c r="D80" t="s">
        <v>32</v>
      </c>
      <c r="E80">
        <v>11</v>
      </c>
      <c r="F80">
        <v>16</v>
      </c>
      <c r="G80">
        <v>176</v>
      </c>
      <c r="H80">
        <v>0.12</v>
      </c>
      <c r="I80">
        <v>21.119999999999997</v>
      </c>
      <c r="J80">
        <v>155</v>
      </c>
      <c r="K80" t="s">
        <v>38</v>
      </c>
    </row>
    <row r="81" spans="1:11" x14ac:dyDescent="0.3">
      <c r="A81" t="s">
        <v>112</v>
      </c>
      <c r="B81" s="1">
        <v>43289</v>
      </c>
      <c r="C81" t="s">
        <v>16</v>
      </c>
      <c r="D81" t="s">
        <v>25</v>
      </c>
      <c r="E81">
        <v>13</v>
      </c>
      <c r="F81">
        <v>40</v>
      </c>
      <c r="G81">
        <v>520</v>
      </c>
      <c r="H81">
        <v>0.02</v>
      </c>
      <c r="I81">
        <v>10.4</v>
      </c>
      <c r="J81">
        <v>510</v>
      </c>
      <c r="K81" t="s">
        <v>40</v>
      </c>
    </row>
    <row r="82" spans="1:11" x14ac:dyDescent="0.3">
      <c r="A82" t="s">
        <v>113</v>
      </c>
      <c r="B82" s="1">
        <v>43289</v>
      </c>
      <c r="C82" t="s">
        <v>16</v>
      </c>
      <c r="D82" t="s">
        <v>25</v>
      </c>
      <c r="E82">
        <v>4</v>
      </c>
      <c r="F82">
        <v>40</v>
      </c>
      <c r="G82">
        <v>160</v>
      </c>
      <c r="H82">
        <v>0.1</v>
      </c>
      <c r="I82">
        <v>16</v>
      </c>
      <c r="J82">
        <v>144</v>
      </c>
      <c r="K82" t="s">
        <v>42</v>
      </c>
    </row>
    <row r="83" spans="1:11" x14ac:dyDescent="0.3">
      <c r="A83" t="s">
        <v>114</v>
      </c>
      <c r="B83" s="1">
        <v>43289</v>
      </c>
      <c r="C83" t="s">
        <v>20</v>
      </c>
      <c r="D83" t="s">
        <v>13</v>
      </c>
      <c r="E83">
        <v>3</v>
      </c>
      <c r="F83">
        <v>230</v>
      </c>
      <c r="G83">
        <v>690</v>
      </c>
      <c r="H83">
        <v>0.11</v>
      </c>
      <c r="I83">
        <v>75.900000000000006</v>
      </c>
      <c r="J83">
        <v>614</v>
      </c>
      <c r="K83" t="s">
        <v>44</v>
      </c>
    </row>
    <row r="84" spans="1:11" x14ac:dyDescent="0.3">
      <c r="A84" t="s">
        <v>115</v>
      </c>
      <c r="B84" s="1">
        <v>43289</v>
      </c>
      <c r="C84" t="s">
        <v>12</v>
      </c>
      <c r="D84" t="s">
        <v>25</v>
      </c>
      <c r="E84">
        <v>6</v>
      </c>
      <c r="F84">
        <v>80</v>
      </c>
      <c r="G84">
        <v>480</v>
      </c>
      <c r="H84">
        <v>0.09</v>
      </c>
      <c r="I84">
        <v>43.199999999999996</v>
      </c>
      <c r="J84">
        <v>437</v>
      </c>
      <c r="K84" t="s">
        <v>14</v>
      </c>
    </row>
    <row r="85" spans="1:11" x14ac:dyDescent="0.3">
      <c r="A85" t="s">
        <v>116</v>
      </c>
      <c r="B85" s="1">
        <v>43289</v>
      </c>
      <c r="C85" t="s">
        <v>35</v>
      </c>
      <c r="D85" t="s">
        <v>13</v>
      </c>
      <c r="E85">
        <v>9</v>
      </c>
      <c r="F85">
        <v>150</v>
      </c>
      <c r="G85">
        <v>1350</v>
      </c>
      <c r="H85">
        <v>0.1</v>
      </c>
      <c r="I85">
        <v>135</v>
      </c>
      <c r="J85">
        <v>1215</v>
      </c>
      <c r="K85" t="s">
        <v>18</v>
      </c>
    </row>
    <row r="86" spans="1:11" x14ac:dyDescent="0.3">
      <c r="A86" t="s">
        <v>117</v>
      </c>
      <c r="B86" s="1">
        <v>43289</v>
      </c>
      <c r="C86" t="s">
        <v>12</v>
      </c>
      <c r="D86" t="s">
        <v>17</v>
      </c>
      <c r="E86">
        <v>14</v>
      </c>
      <c r="F86">
        <v>80</v>
      </c>
      <c r="G86">
        <v>1120</v>
      </c>
      <c r="H86">
        <v>0.11</v>
      </c>
      <c r="I86">
        <v>123.2</v>
      </c>
      <c r="J86">
        <v>997</v>
      </c>
      <c r="K86" t="s">
        <v>21</v>
      </c>
    </row>
    <row r="87" spans="1:11" x14ac:dyDescent="0.3">
      <c r="A87" t="s">
        <v>118</v>
      </c>
      <c r="B87" s="1">
        <v>43289</v>
      </c>
      <c r="C87" t="s">
        <v>12</v>
      </c>
      <c r="D87" t="s">
        <v>13</v>
      </c>
      <c r="E87">
        <v>18</v>
      </c>
      <c r="F87">
        <v>80</v>
      </c>
      <c r="G87">
        <v>1440</v>
      </c>
      <c r="H87">
        <v>0.02</v>
      </c>
      <c r="I87">
        <v>28.8</v>
      </c>
      <c r="J87">
        <v>1411</v>
      </c>
      <c r="K87" t="s">
        <v>23</v>
      </c>
    </row>
    <row r="88" spans="1:11" x14ac:dyDescent="0.3">
      <c r="A88" t="s">
        <v>119</v>
      </c>
      <c r="B88" s="1">
        <v>43289</v>
      </c>
      <c r="C88" t="s">
        <v>16</v>
      </c>
      <c r="D88" t="s">
        <v>13</v>
      </c>
      <c r="E88">
        <v>20</v>
      </c>
      <c r="F88">
        <v>40</v>
      </c>
      <c r="G88">
        <v>800</v>
      </c>
      <c r="H88">
        <v>0.04</v>
      </c>
      <c r="I88">
        <v>32</v>
      </c>
      <c r="J88">
        <v>768</v>
      </c>
      <c r="K88" t="s">
        <v>26</v>
      </c>
    </row>
    <row r="89" spans="1:11" x14ac:dyDescent="0.3">
      <c r="A89" t="s">
        <v>120</v>
      </c>
      <c r="B89" s="1">
        <v>43290</v>
      </c>
      <c r="C89" t="s">
        <v>31</v>
      </c>
      <c r="D89" t="s">
        <v>25</v>
      </c>
      <c r="E89">
        <v>8</v>
      </c>
      <c r="F89">
        <v>16</v>
      </c>
      <c r="G89">
        <v>128</v>
      </c>
      <c r="H89">
        <v>0.03</v>
      </c>
      <c r="I89">
        <v>3.84</v>
      </c>
      <c r="J89">
        <v>124</v>
      </c>
      <c r="K89" t="s">
        <v>29</v>
      </c>
    </row>
    <row r="90" spans="1:11" x14ac:dyDescent="0.3">
      <c r="A90" t="s">
        <v>121</v>
      </c>
      <c r="B90" s="1">
        <v>43290</v>
      </c>
      <c r="C90" t="s">
        <v>12</v>
      </c>
      <c r="D90" t="s">
        <v>17</v>
      </c>
      <c r="E90">
        <v>14</v>
      </c>
      <c r="F90">
        <v>80</v>
      </c>
      <c r="G90">
        <v>1120</v>
      </c>
      <c r="H90">
        <v>0.06</v>
      </c>
      <c r="I90">
        <v>67.2</v>
      </c>
      <c r="J90">
        <v>1053</v>
      </c>
      <c r="K90" t="s">
        <v>33</v>
      </c>
    </row>
    <row r="91" spans="1:11" x14ac:dyDescent="0.3">
      <c r="A91" t="s">
        <v>122</v>
      </c>
      <c r="B91" s="1">
        <v>43290</v>
      </c>
      <c r="C91" t="s">
        <v>35</v>
      </c>
      <c r="D91" t="s">
        <v>13</v>
      </c>
      <c r="E91">
        <v>20</v>
      </c>
      <c r="F91">
        <v>150</v>
      </c>
      <c r="G91">
        <v>3000</v>
      </c>
      <c r="H91">
        <v>0.01</v>
      </c>
      <c r="I91">
        <v>30</v>
      </c>
      <c r="J91">
        <v>2970</v>
      </c>
      <c r="K91" t="s">
        <v>36</v>
      </c>
    </row>
    <row r="92" spans="1:11" x14ac:dyDescent="0.3">
      <c r="A92" t="s">
        <v>123</v>
      </c>
      <c r="B92" s="1">
        <v>43290</v>
      </c>
      <c r="C92" t="s">
        <v>16</v>
      </c>
      <c r="D92" t="s">
        <v>28</v>
      </c>
      <c r="E92">
        <v>15</v>
      </c>
      <c r="F92">
        <v>40</v>
      </c>
      <c r="G92">
        <v>600</v>
      </c>
      <c r="H92">
        <v>0.03</v>
      </c>
      <c r="I92">
        <v>18</v>
      </c>
      <c r="J92">
        <v>582</v>
      </c>
      <c r="K92" t="s">
        <v>38</v>
      </c>
    </row>
    <row r="93" spans="1:11" x14ac:dyDescent="0.3">
      <c r="A93" t="s">
        <v>124</v>
      </c>
      <c r="B93" s="1">
        <v>43290</v>
      </c>
      <c r="C93" t="s">
        <v>16</v>
      </c>
      <c r="D93" t="s">
        <v>17</v>
      </c>
      <c r="E93">
        <v>18</v>
      </c>
      <c r="F93">
        <v>40</v>
      </c>
      <c r="G93">
        <v>720</v>
      </c>
      <c r="H93">
        <v>0.08</v>
      </c>
      <c r="I93">
        <v>57.6</v>
      </c>
      <c r="J93">
        <v>662</v>
      </c>
      <c r="K93" t="s">
        <v>40</v>
      </c>
    </row>
    <row r="94" spans="1:11" x14ac:dyDescent="0.3">
      <c r="A94" t="s">
        <v>125</v>
      </c>
      <c r="B94" s="1">
        <v>43290</v>
      </c>
      <c r="C94" t="s">
        <v>16</v>
      </c>
      <c r="D94" t="s">
        <v>32</v>
      </c>
      <c r="E94">
        <v>11</v>
      </c>
      <c r="F94">
        <v>40</v>
      </c>
      <c r="G94">
        <v>440</v>
      </c>
      <c r="H94">
        <v>0.05</v>
      </c>
      <c r="I94">
        <v>22</v>
      </c>
      <c r="J94">
        <v>418</v>
      </c>
      <c r="K94" t="s">
        <v>42</v>
      </c>
    </row>
    <row r="95" spans="1:11" x14ac:dyDescent="0.3">
      <c r="A95" t="s">
        <v>126</v>
      </c>
      <c r="B95" s="1">
        <v>43291</v>
      </c>
      <c r="C95" t="s">
        <v>16</v>
      </c>
      <c r="D95" t="s">
        <v>32</v>
      </c>
      <c r="E95">
        <v>23</v>
      </c>
      <c r="F95">
        <v>40</v>
      </c>
      <c r="G95">
        <v>920</v>
      </c>
      <c r="H95">
        <v>0.04</v>
      </c>
      <c r="I95">
        <v>36.800000000000004</v>
      </c>
      <c r="J95">
        <v>883</v>
      </c>
      <c r="K95" t="s">
        <v>44</v>
      </c>
    </row>
    <row r="96" spans="1:11" x14ac:dyDescent="0.3">
      <c r="A96" t="s">
        <v>127</v>
      </c>
      <c r="B96" s="1">
        <v>43291</v>
      </c>
      <c r="C96" t="s">
        <v>31</v>
      </c>
      <c r="D96" t="s">
        <v>32</v>
      </c>
      <c r="E96">
        <v>17</v>
      </c>
      <c r="F96">
        <v>16</v>
      </c>
      <c r="G96">
        <v>272</v>
      </c>
      <c r="H96">
        <v>0.1</v>
      </c>
      <c r="I96">
        <v>27.200000000000003</v>
      </c>
      <c r="J96">
        <v>245</v>
      </c>
      <c r="K96" t="s">
        <v>14</v>
      </c>
    </row>
    <row r="97" spans="1:11" x14ac:dyDescent="0.3">
      <c r="A97" t="s">
        <v>128</v>
      </c>
      <c r="B97" s="1">
        <v>43291</v>
      </c>
      <c r="C97" t="s">
        <v>31</v>
      </c>
      <c r="D97" t="s">
        <v>17</v>
      </c>
      <c r="E97">
        <v>4</v>
      </c>
      <c r="F97">
        <v>16</v>
      </c>
      <c r="G97">
        <v>64</v>
      </c>
      <c r="H97">
        <v>7.0000000000000007E-2</v>
      </c>
      <c r="I97">
        <v>4.4800000000000004</v>
      </c>
      <c r="J97">
        <v>60</v>
      </c>
      <c r="K97" t="s">
        <v>18</v>
      </c>
    </row>
    <row r="98" spans="1:11" x14ac:dyDescent="0.3">
      <c r="A98" t="s">
        <v>129</v>
      </c>
      <c r="B98" s="1">
        <v>43291</v>
      </c>
      <c r="C98" t="s">
        <v>12</v>
      </c>
      <c r="D98" t="s">
        <v>25</v>
      </c>
      <c r="E98">
        <v>23</v>
      </c>
      <c r="F98">
        <v>80</v>
      </c>
      <c r="G98">
        <v>1840</v>
      </c>
      <c r="H98">
        <v>0.05</v>
      </c>
      <c r="I98">
        <v>92</v>
      </c>
      <c r="J98">
        <v>1748</v>
      </c>
      <c r="K98" t="s">
        <v>21</v>
      </c>
    </row>
    <row r="99" spans="1:11" x14ac:dyDescent="0.3">
      <c r="A99" t="s">
        <v>130</v>
      </c>
      <c r="B99" s="1">
        <v>43291</v>
      </c>
      <c r="C99" t="s">
        <v>20</v>
      </c>
      <c r="D99" t="s">
        <v>25</v>
      </c>
      <c r="E99">
        <v>10</v>
      </c>
      <c r="F99">
        <v>230</v>
      </c>
      <c r="G99">
        <v>2300</v>
      </c>
      <c r="H99">
        <v>0.02</v>
      </c>
      <c r="I99">
        <v>46</v>
      </c>
      <c r="J99">
        <v>2254</v>
      </c>
      <c r="K99" t="s">
        <v>23</v>
      </c>
    </row>
    <row r="100" spans="1:11" x14ac:dyDescent="0.3">
      <c r="A100" t="s">
        <v>131</v>
      </c>
      <c r="B100" s="1">
        <v>43291</v>
      </c>
      <c r="C100" t="s">
        <v>31</v>
      </c>
      <c r="D100" t="s">
        <v>25</v>
      </c>
      <c r="E100">
        <v>14</v>
      </c>
      <c r="F100">
        <v>16</v>
      </c>
      <c r="G100">
        <v>224</v>
      </c>
      <c r="H100">
        <v>0.01</v>
      </c>
      <c r="I100">
        <v>2.2400000000000002</v>
      </c>
      <c r="J100">
        <v>222</v>
      </c>
      <c r="K100" t="s">
        <v>26</v>
      </c>
    </row>
    <row r="101" spans="1:11" x14ac:dyDescent="0.3">
      <c r="A101" t="s">
        <v>132</v>
      </c>
      <c r="B101" s="1">
        <v>43291</v>
      </c>
      <c r="C101" t="s">
        <v>16</v>
      </c>
      <c r="D101" t="s">
        <v>17</v>
      </c>
      <c r="E101">
        <v>19</v>
      </c>
      <c r="F101">
        <v>40</v>
      </c>
      <c r="G101">
        <v>760</v>
      </c>
      <c r="H101">
        <v>0.1</v>
      </c>
      <c r="I101">
        <v>76</v>
      </c>
      <c r="J101">
        <v>684</v>
      </c>
      <c r="K101" t="s">
        <v>29</v>
      </c>
    </row>
    <row r="102" spans="1:11" x14ac:dyDescent="0.3">
      <c r="A102" t="s">
        <v>133</v>
      </c>
      <c r="B102" s="1">
        <v>43291</v>
      </c>
      <c r="C102" t="s">
        <v>12</v>
      </c>
      <c r="D102" t="s">
        <v>32</v>
      </c>
      <c r="E102">
        <v>22</v>
      </c>
      <c r="F102">
        <v>80</v>
      </c>
      <c r="G102">
        <v>1760</v>
      </c>
      <c r="H102">
        <v>0.09</v>
      </c>
      <c r="I102">
        <v>158.4</v>
      </c>
      <c r="J102">
        <v>1602</v>
      </c>
      <c r="K102" t="s">
        <v>33</v>
      </c>
    </row>
    <row r="103" spans="1:11" x14ac:dyDescent="0.3">
      <c r="A103" t="s">
        <v>134</v>
      </c>
      <c r="B103" s="1">
        <v>43291</v>
      </c>
      <c r="C103" t="s">
        <v>31</v>
      </c>
      <c r="D103" t="s">
        <v>13</v>
      </c>
      <c r="E103">
        <v>18</v>
      </c>
      <c r="F103">
        <v>16</v>
      </c>
      <c r="G103">
        <v>288</v>
      </c>
      <c r="H103">
        <v>0.05</v>
      </c>
      <c r="I103">
        <v>14.4</v>
      </c>
      <c r="J103">
        <v>274</v>
      </c>
      <c r="K103" t="s">
        <v>36</v>
      </c>
    </row>
    <row r="104" spans="1:11" x14ac:dyDescent="0.3">
      <c r="A104" t="s">
        <v>135</v>
      </c>
      <c r="B104" s="1">
        <v>43291</v>
      </c>
      <c r="C104" t="s">
        <v>16</v>
      </c>
      <c r="D104" t="s">
        <v>13</v>
      </c>
      <c r="E104">
        <v>18</v>
      </c>
      <c r="F104">
        <v>40</v>
      </c>
      <c r="G104">
        <v>720</v>
      </c>
      <c r="H104">
        <v>0.11</v>
      </c>
      <c r="I104">
        <v>79.2</v>
      </c>
      <c r="J104">
        <v>641</v>
      </c>
      <c r="K104" t="s">
        <v>38</v>
      </c>
    </row>
    <row r="105" spans="1:11" x14ac:dyDescent="0.3">
      <c r="A105" t="s">
        <v>136</v>
      </c>
      <c r="B105" s="1">
        <v>43291</v>
      </c>
      <c r="C105" t="s">
        <v>16</v>
      </c>
      <c r="D105" t="s">
        <v>32</v>
      </c>
      <c r="E105">
        <v>21</v>
      </c>
      <c r="F105">
        <v>40</v>
      </c>
      <c r="G105">
        <v>840</v>
      </c>
      <c r="H105">
        <v>0.01</v>
      </c>
      <c r="I105">
        <v>8.4</v>
      </c>
      <c r="J105">
        <v>832</v>
      </c>
      <c r="K105" t="s">
        <v>40</v>
      </c>
    </row>
    <row r="106" spans="1:11" x14ac:dyDescent="0.3">
      <c r="A106" t="s">
        <v>137</v>
      </c>
      <c r="B106" s="1">
        <v>43291</v>
      </c>
      <c r="C106" t="s">
        <v>12</v>
      </c>
      <c r="D106" t="s">
        <v>13</v>
      </c>
      <c r="E106">
        <v>6</v>
      </c>
      <c r="F106">
        <v>80</v>
      </c>
      <c r="G106">
        <v>480</v>
      </c>
      <c r="H106">
        <v>7.0000000000000007E-2</v>
      </c>
      <c r="I106">
        <v>33.6</v>
      </c>
      <c r="J106">
        <v>446</v>
      </c>
      <c r="K106" t="s">
        <v>42</v>
      </c>
    </row>
    <row r="107" spans="1:11" x14ac:dyDescent="0.3">
      <c r="A107" t="s">
        <v>138</v>
      </c>
      <c r="B107" s="1">
        <v>43291</v>
      </c>
      <c r="C107" t="s">
        <v>35</v>
      </c>
      <c r="D107" t="s">
        <v>32</v>
      </c>
      <c r="E107">
        <v>17</v>
      </c>
      <c r="F107">
        <v>150</v>
      </c>
      <c r="G107">
        <v>2550</v>
      </c>
      <c r="H107">
        <v>0.02</v>
      </c>
      <c r="I107">
        <v>51</v>
      </c>
      <c r="J107">
        <v>2499</v>
      </c>
      <c r="K107" t="s">
        <v>44</v>
      </c>
    </row>
    <row r="108" spans="1:11" x14ac:dyDescent="0.3">
      <c r="A108" t="s">
        <v>139</v>
      </c>
      <c r="B108" s="1">
        <v>43291</v>
      </c>
      <c r="C108" t="s">
        <v>12</v>
      </c>
      <c r="D108" t="s">
        <v>25</v>
      </c>
      <c r="E108">
        <v>16</v>
      </c>
      <c r="F108">
        <v>80</v>
      </c>
      <c r="G108">
        <v>1280</v>
      </c>
      <c r="H108">
        <v>0.02</v>
      </c>
      <c r="I108">
        <v>25.6</v>
      </c>
      <c r="J108">
        <v>1254</v>
      </c>
      <c r="K108" t="s">
        <v>14</v>
      </c>
    </row>
    <row r="109" spans="1:11" x14ac:dyDescent="0.3">
      <c r="A109" t="s">
        <v>140</v>
      </c>
      <c r="B109" s="1">
        <v>43291</v>
      </c>
      <c r="C109" t="s">
        <v>16</v>
      </c>
      <c r="D109" t="s">
        <v>17</v>
      </c>
      <c r="E109">
        <v>15</v>
      </c>
      <c r="F109">
        <v>40</v>
      </c>
      <c r="G109">
        <v>600</v>
      </c>
      <c r="H109">
        <v>0.04</v>
      </c>
      <c r="I109">
        <v>24</v>
      </c>
      <c r="J109">
        <v>576</v>
      </c>
      <c r="K109" t="s">
        <v>18</v>
      </c>
    </row>
    <row r="110" spans="1:11" x14ac:dyDescent="0.3">
      <c r="A110" t="s">
        <v>141</v>
      </c>
      <c r="B110" s="1">
        <v>43291</v>
      </c>
      <c r="C110" t="s">
        <v>20</v>
      </c>
      <c r="D110" t="s">
        <v>28</v>
      </c>
      <c r="E110">
        <v>2</v>
      </c>
      <c r="F110">
        <v>230</v>
      </c>
      <c r="G110">
        <v>460</v>
      </c>
      <c r="H110">
        <v>0.08</v>
      </c>
      <c r="I110">
        <v>36.800000000000004</v>
      </c>
      <c r="J110">
        <v>423</v>
      </c>
      <c r="K110" t="s">
        <v>21</v>
      </c>
    </row>
    <row r="111" spans="1:11" x14ac:dyDescent="0.3">
      <c r="A111" t="s">
        <v>142</v>
      </c>
      <c r="B111" s="1">
        <v>43291</v>
      </c>
      <c r="C111" t="s">
        <v>16</v>
      </c>
      <c r="D111" t="s">
        <v>32</v>
      </c>
      <c r="E111">
        <v>3</v>
      </c>
      <c r="F111">
        <v>40</v>
      </c>
      <c r="G111">
        <v>120</v>
      </c>
      <c r="H111">
        <v>0.03</v>
      </c>
      <c r="I111">
        <v>3.5999999999999996</v>
      </c>
      <c r="J111">
        <v>116</v>
      </c>
      <c r="K111" t="s">
        <v>23</v>
      </c>
    </row>
    <row r="112" spans="1:11" x14ac:dyDescent="0.3">
      <c r="A112" t="s">
        <v>143</v>
      </c>
      <c r="B112" s="1">
        <v>43291</v>
      </c>
      <c r="C112" t="s">
        <v>20</v>
      </c>
      <c r="D112" t="s">
        <v>32</v>
      </c>
      <c r="E112">
        <v>21</v>
      </c>
      <c r="F112">
        <v>230</v>
      </c>
      <c r="G112">
        <v>4830</v>
      </c>
      <c r="H112">
        <v>0.05</v>
      </c>
      <c r="I112">
        <v>241.5</v>
      </c>
      <c r="J112">
        <v>4588</v>
      </c>
      <c r="K112" t="s">
        <v>26</v>
      </c>
    </row>
    <row r="113" spans="1:11" x14ac:dyDescent="0.3">
      <c r="A113" t="s">
        <v>144</v>
      </c>
      <c r="B113" s="1">
        <v>43291</v>
      </c>
      <c r="C113" t="s">
        <v>35</v>
      </c>
      <c r="D113" t="s">
        <v>13</v>
      </c>
      <c r="E113">
        <v>11</v>
      </c>
      <c r="F113">
        <v>150</v>
      </c>
      <c r="G113">
        <v>1650</v>
      </c>
      <c r="H113">
        <v>0.05</v>
      </c>
      <c r="I113">
        <v>82.5</v>
      </c>
      <c r="J113">
        <v>1568</v>
      </c>
      <c r="K113" t="s">
        <v>29</v>
      </c>
    </row>
    <row r="114" spans="1:11" x14ac:dyDescent="0.3">
      <c r="A114" t="s">
        <v>145</v>
      </c>
      <c r="B114" s="1">
        <v>43292</v>
      </c>
      <c r="C114" t="s">
        <v>35</v>
      </c>
      <c r="D114" t="s">
        <v>17</v>
      </c>
      <c r="E114">
        <v>15</v>
      </c>
      <c r="F114">
        <v>150</v>
      </c>
      <c r="G114">
        <v>2250</v>
      </c>
      <c r="H114">
        <v>0.02</v>
      </c>
      <c r="I114">
        <v>45</v>
      </c>
      <c r="J114">
        <v>2205</v>
      </c>
      <c r="K114" t="s">
        <v>33</v>
      </c>
    </row>
    <row r="115" spans="1:11" x14ac:dyDescent="0.3">
      <c r="A115" t="s">
        <v>146</v>
      </c>
      <c r="B115" s="1">
        <v>43292</v>
      </c>
      <c r="C115" t="s">
        <v>12</v>
      </c>
      <c r="D115" t="s">
        <v>28</v>
      </c>
      <c r="E115">
        <v>16</v>
      </c>
      <c r="F115">
        <v>80</v>
      </c>
      <c r="G115">
        <v>1280</v>
      </c>
      <c r="H115">
        <v>0.1</v>
      </c>
      <c r="I115">
        <v>128</v>
      </c>
      <c r="J115">
        <v>1152</v>
      </c>
      <c r="K115" t="s">
        <v>36</v>
      </c>
    </row>
    <row r="116" spans="1:11" x14ac:dyDescent="0.3">
      <c r="A116" t="s">
        <v>147</v>
      </c>
      <c r="B116" s="1">
        <v>43292</v>
      </c>
      <c r="C116" t="s">
        <v>20</v>
      </c>
      <c r="D116" t="s">
        <v>32</v>
      </c>
      <c r="E116">
        <v>17</v>
      </c>
      <c r="F116">
        <v>230</v>
      </c>
      <c r="G116">
        <v>3910</v>
      </c>
      <c r="H116">
        <v>0.11</v>
      </c>
      <c r="I116">
        <v>430.1</v>
      </c>
      <c r="J116">
        <v>3480</v>
      </c>
      <c r="K116" t="s">
        <v>38</v>
      </c>
    </row>
    <row r="117" spans="1:11" x14ac:dyDescent="0.3">
      <c r="A117" t="s">
        <v>148</v>
      </c>
      <c r="B117" s="1">
        <v>43292</v>
      </c>
      <c r="C117" t="s">
        <v>16</v>
      </c>
      <c r="D117" t="s">
        <v>32</v>
      </c>
      <c r="E117">
        <v>16</v>
      </c>
      <c r="F117">
        <v>40</v>
      </c>
      <c r="G117">
        <v>640</v>
      </c>
      <c r="H117">
        <v>0.11</v>
      </c>
      <c r="I117">
        <v>70.400000000000006</v>
      </c>
      <c r="J117">
        <v>570</v>
      </c>
      <c r="K117" t="s">
        <v>40</v>
      </c>
    </row>
    <row r="118" spans="1:11" x14ac:dyDescent="0.3">
      <c r="A118" t="s">
        <v>149</v>
      </c>
      <c r="B118" s="1">
        <v>43292</v>
      </c>
      <c r="C118" t="s">
        <v>12</v>
      </c>
      <c r="D118" t="s">
        <v>28</v>
      </c>
      <c r="E118">
        <v>2</v>
      </c>
      <c r="F118">
        <v>80</v>
      </c>
      <c r="G118">
        <v>160</v>
      </c>
      <c r="H118">
        <v>0.08</v>
      </c>
      <c r="I118">
        <v>12.8</v>
      </c>
      <c r="J118">
        <v>147</v>
      </c>
      <c r="K118" t="s">
        <v>42</v>
      </c>
    </row>
    <row r="119" spans="1:11" x14ac:dyDescent="0.3">
      <c r="A119" t="s">
        <v>150</v>
      </c>
      <c r="B119" s="1">
        <v>43292</v>
      </c>
      <c r="C119" t="s">
        <v>35</v>
      </c>
      <c r="D119" t="s">
        <v>17</v>
      </c>
      <c r="E119">
        <v>22</v>
      </c>
      <c r="F119">
        <v>150</v>
      </c>
      <c r="G119">
        <v>3300</v>
      </c>
      <c r="H119">
        <v>0.02</v>
      </c>
      <c r="I119">
        <v>66</v>
      </c>
      <c r="J119">
        <v>3234</v>
      </c>
      <c r="K119" t="s">
        <v>44</v>
      </c>
    </row>
    <row r="120" spans="1:11" x14ac:dyDescent="0.3">
      <c r="A120" t="s">
        <v>151</v>
      </c>
      <c r="B120" s="1">
        <v>43292</v>
      </c>
      <c r="C120" t="s">
        <v>12</v>
      </c>
      <c r="D120" t="s">
        <v>13</v>
      </c>
      <c r="E120">
        <v>16</v>
      </c>
      <c r="F120">
        <v>80</v>
      </c>
      <c r="G120">
        <v>1280</v>
      </c>
      <c r="H120">
        <v>0.03</v>
      </c>
      <c r="I120">
        <v>38.4</v>
      </c>
      <c r="J120">
        <v>1242</v>
      </c>
      <c r="K120" t="s">
        <v>14</v>
      </c>
    </row>
    <row r="121" spans="1:11" x14ac:dyDescent="0.3">
      <c r="A121" t="s">
        <v>152</v>
      </c>
      <c r="B121" s="1">
        <v>43293</v>
      </c>
      <c r="C121" t="s">
        <v>31</v>
      </c>
      <c r="D121" t="s">
        <v>13</v>
      </c>
      <c r="E121">
        <v>20</v>
      </c>
      <c r="F121">
        <v>16</v>
      </c>
      <c r="G121">
        <v>320</v>
      </c>
      <c r="H121">
        <v>0.11</v>
      </c>
      <c r="I121">
        <v>35.200000000000003</v>
      </c>
      <c r="J121">
        <v>285</v>
      </c>
      <c r="K121" t="s">
        <v>18</v>
      </c>
    </row>
    <row r="122" spans="1:11" x14ac:dyDescent="0.3">
      <c r="A122" t="s">
        <v>153</v>
      </c>
      <c r="B122" s="1">
        <v>43293</v>
      </c>
      <c r="C122" t="s">
        <v>12</v>
      </c>
      <c r="D122" t="s">
        <v>32</v>
      </c>
      <c r="E122">
        <v>9</v>
      </c>
      <c r="F122">
        <v>80</v>
      </c>
      <c r="G122">
        <v>720</v>
      </c>
      <c r="H122">
        <v>7.0000000000000007E-2</v>
      </c>
      <c r="I122">
        <v>50.400000000000006</v>
      </c>
      <c r="J122">
        <v>670</v>
      </c>
      <c r="K122" t="s">
        <v>21</v>
      </c>
    </row>
    <row r="123" spans="1:11" x14ac:dyDescent="0.3">
      <c r="A123" t="s">
        <v>154</v>
      </c>
      <c r="B123" s="1">
        <v>43293</v>
      </c>
      <c r="C123" t="s">
        <v>20</v>
      </c>
      <c r="D123" t="s">
        <v>32</v>
      </c>
      <c r="E123">
        <v>5</v>
      </c>
      <c r="F123">
        <v>230</v>
      </c>
      <c r="G123">
        <v>1150</v>
      </c>
      <c r="H123">
        <v>0.12</v>
      </c>
      <c r="I123">
        <v>138</v>
      </c>
      <c r="J123">
        <v>1012</v>
      </c>
      <c r="K123" t="s">
        <v>23</v>
      </c>
    </row>
    <row r="124" spans="1:11" x14ac:dyDescent="0.3">
      <c r="A124" t="s">
        <v>155</v>
      </c>
      <c r="B124" s="1">
        <v>43293</v>
      </c>
      <c r="C124" t="s">
        <v>31</v>
      </c>
      <c r="D124" t="s">
        <v>13</v>
      </c>
      <c r="E124">
        <v>20</v>
      </c>
      <c r="F124">
        <v>16</v>
      </c>
      <c r="G124">
        <v>320</v>
      </c>
      <c r="H124">
        <v>0.01</v>
      </c>
      <c r="I124">
        <v>3.2</v>
      </c>
      <c r="J124">
        <v>317</v>
      </c>
      <c r="K124" t="s">
        <v>26</v>
      </c>
    </row>
    <row r="125" spans="1:11" x14ac:dyDescent="0.3">
      <c r="A125" t="s">
        <v>156</v>
      </c>
      <c r="B125" s="1">
        <v>43293</v>
      </c>
      <c r="C125" t="s">
        <v>31</v>
      </c>
      <c r="D125" t="s">
        <v>13</v>
      </c>
      <c r="E125">
        <v>16</v>
      </c>
      <c r="F125">
        <v>16</v>
      </c>
      <c r="G125">
        <v>256</v>
      </c>
      <c r="H125">
        <v>0.03</v>
      </c>
      <c r="I125">
        <v>7.68</v>
      </c>
      <c r="J125">
        <v>248</v>
      </c>
      <c r="K125" t="s">
        <v>29</v>
      </c>
    </row>
    <row r="126" spans="1:11" x14ac:dyDescent="0.3">
      <c r="A126" t="s">
        <v>157</v>
      </c>
      <c r="B126" s="1">
        <v>43293</v>
      </c>
      <c r="C126" t="s">
        <v>35</v>
      </c>
      <c r="D126" t="s">
        <v>28</v>
      </c>
      <c r="E126">
        <v>15</v>
      </c>
      <c r="F126">
        <v>150</v>
      </c>
      <c r="G126">
        <v>2250</v>
      </c>
      <c r="H126">
        <v>0.05</v>
      </c>
      <c r="I126">
        <v>112.5</v>
      </c>
      <c r="J126">
        <v>2138</v>
      </c>
      <c r="K126" t="s">
        <v>33</v>
      </c>
    </row>
    <row r="127" spans="1:11" x14ac:dyDescent="0.3">
      <c r="A127" t="s">
        <v>158</v>
      </c>
      <c r="B127" s="1">
        <v>43293</v>
      </c>
      <c r="C127" t="s">
        <v>20</v>
      </c>
      <c r="D127" t="s">
        <v>17</v>
      </c>
      <c r="E127">
        <v>19</v>
      </c>
      <c r="F127">
        <v>230</v>
      </c>
      <c r="G127">
        <v>4370</v>
      </c>
      <c r="H127">
        <v>0.11</v>
      </c>
      <c r="I127">
        <v>480.7</v>
      </c>
      <c r="J127">
        <v>3889</v>
      </c>
      <c r="K127" t="s">
        <v>36</v>
      </c>
    </row>
    <row r="128" spans="1:11" x14ac:dyDescent="0.3">
      <c r="A128" t="s">
        <v>159</v>
      </c>
      <c r="B128" s="1">
        <v>43294</v>
      </c>
      <c r="C128" t="s">
        <v>35</v>
      </c>
      <c r="D128" t="s">
        <v>25</v>
      </c>
      <c r="E128">
        <v>2</v>
      </c>
      <c r="F128">
        <v>150</v>
      </c>
      <c r="G128">
        <v>300</v>
      </c>
      <c r="H128">
        <v>0.02</v>
      </c>
      <c r="I128">
        <v>6</v>
      </c>
      <c r="J128">
        <v>294</v>
      </c>
      <c r="K128" t="s">
        <v>38</v>
      </c>
    </row>
    <row r="129" spans="1:11" x14ac:dyDescent="0.3">
      <c r="A129" t="s">
        <v>160</v>
      </c>
      <c r="B129" s="1">
        <v>43294</v>
      </c>
      <c r="C129" t="s">
        <v>12</v>
      </c>
      <c r="D129" t="s">
        <v>32</v>
      </c>
      <c r="E129">
        <v>16</v>
      </c>
      <c r="F129">
        <v>80</v>
      </c>
      <c r="G129">
        <v>1280</v>
      </c>
      <c r="H129">
        <v>0.05</v>
      </c>
      <c r="I129">
        <v>64</v>
      </c>
      <c r="J129">
        <v>1216</v>
      </c>
      <c r="K129" t="s">
        <v>40</v>
      </c>
    </row>
    <row r="130" spans="1:11" x14ac:dyDescent="0.3">
      <c r="A130" t="s">
        <v>161</v>
      </c>
      <c r="B130" s="1">
        <v>43294</v>
      </c>
      <c r="C130" t="s">
        <v>16</v>
      </c>
      <c r="D130" t="s">
        <v>25</v>
      </c>
      <c r="E130">
        <v>2</v>
      </c>
      <c r="F130">
        <v>40</v>
      </c>
      <c r="G130">
        <v>80</v>
      </c>
      <c r="H130">
        <v>0.03</v>
      </c>
      <c r="I130">
        <v>2.4</v>
      </c>
      <c r="J130">
        <v>78</v>
      </c>
      <c r="K130" t="s">
        <v>42</v>
      </c>
    </row>
    <row r="131" spans="1:11" x14ac:dyDescent="0.3">
      <c r="A131" t="s">
        <v>162</v>
      </c>
      <c r="B131" s="1">
        <v>43294</v>
      </c>
      <c r="C131" t="s">
        <v>12</v>
      </c>
      <c r="D131" t="s">
        <v>17</v>
      </c>
      <c r="E131">
        <v>5</v>
      </c>
      <c r="F131">
        <v>80</v>
      </c>
      <c r="G131">
        <v>400</v>
      </c>
      <c r="H131">
        <v>0.04</v>
      </c>
      <c r="I131">
        <v>16</v>
      </c>
      <c r="J131">
        <v>384</v>
      </c>
      <c r="K131" t="s">
        <v>44</v>
      </c>
    </row>
    <row r="132" spans="1:11" x14ac:dyDescent="0.3">
      <c r="A132" t="s">
        <v>163</v>
      </c>
      <c r="B132" s="1">
        <v>43294</v>
      </c>
      <c r="C132" t="s">
        <v>20</v>
      </c>
      <c r="D132" t="s">
        <v>28</v>
      </c>
      <c r="E132">
        <v>17</v>
      </c>
      <c r="F132">
        <v>230</v>
      </c>
      <c r="G132">
        <v>3910</v>
      </c>
      <c r="H132">
        <v>0.12</v>
      </c>
      <c r="I132">
        <v>469.2</v>
      </c>
      <c r="J132">
        <v>3441</v>
      </c>
      <c r="K132" t="s">
        <v>14</v>
      </c>
    </row>
    <row r="133" spans="1:11" x14ac:dyDescent="0.3">
      <c r="A133" t="s">
        <v>164</v>
      </c>
      <c r="B133" s="1">
        <v>43294</v>
      </c>
      <c r="C133" t="s">
        <v>12</v>
      </c>
      <c r="D133" t="s">
        <v>13</v>
      </c>
      <c r="E133">
        <v>8</v>
      </c>
      <c r="F133">
        <v>80</v>
      </c>
      <c r="G133">
        <v>640</v>
      </c>
      <c r="H133">
        <v>0.08</v>
      </c>
      <c r="I133">
        <v>51.2</v>
      </c>
      <c r="J133">
        <v>589</v>
      </c>
      <c r="K133" t="s">
        <v>18</v>
      </c>
    </row>
    <row r="134" spans="1:11" x14ac:dyDescent="0.3">
      <c r="A134" t="s">
        <v>165</v>
      </c>
      <c r="B134" s="1">
        <v>43294</v>
      </c>
      <c r="C134" t="s">
        <v>16</v>
      </c>
      <c r="D134" t="s">
        <v>17</v>
      </c>
      <c r="E134">
        <v>4</v>
      </c>
      <c r="F134">
        <v>40</v>
      </c>
      <c r="G134">
        <v>160</v>
      </c>
      <c r="H134">
        <v>0.06</v>
      </c>
      <c r="I134">
        <v>9.6</v>
      </c>
      <c r="J134">
        <v>150</v>
      </c>
      <c r="K134" t="s">
        <v>21</v>
      </c>
    </row>
    <row r="135" spans="1:11" x14ac:dyDescent="0.3">
      <c r="A135" t="s">
        <v>166</v>
      </c>
      <c r="B135" s="1">
        <v>43294</v>
      </c>
      <c r="C135" t="s">
        <v>31</v>
      </c>
      <c r="D135" t="s">
        <v>25</v>
      </c>
      <c r="E135">
        <v>17</v>
      </c>
      <c r="F135">
        <v>16</v>
      </c>
      <c r="G135">
        <v>272</v>
      </c>
      <c r="H135">
        <v>0.05</v>
      </c>
      <c r="I135">
        <v>13.600000000000001</v>
      </c>
      <c r="J135">
        <v>258</v>
      </c>
      <c r="K135" t="s">
        <v>23</v>
      </c>
    </row>
    <row r="136" spans="1:11" x14ac:dyDescent="0.3">
      <c r="A136" t="s">
        <v>167</v>
      </c>
      <c r="B136" s="1">
        <v>43294</v>
      </c>
      <c r="C136" t="s">
        <v>20</v>
      </c>
      <c r="D136" t="s">
        <v>28</v>
      </c>
      <c r="E136">
        <v>8</v>
      </c>
      <c r="F136">
        <v>230</v>
      </c>
      <c r="G136">
        <v>1840</v>
      </c>
      <c r="H136">
        <v>0.01</v>
      </c>
      <c r="I136">
        <v>18.400000000000002</v>
      </c>
      <c r="J136">
        <v>1822</v>
      </c>
      <c r="K136" t="s">
        <v>26</v>
      </c>
    </row>
    <row r="137" spans="1:11" x14ac:dyDescent="0.3">
      <c r="A137" t="s">
        <v>168</v>
      </c>
      <c r="B137" s="1">
        <v>43294</v>
      </c>
      <c r="C137" t="s">
        <v>31</v>
      </c>
      <c r="D137" t="s">
        <v>32</v>
      </c>
      <c r="E137">
        <v>19</v>
      </c>
      <c r="F137">
        <v>16</v>
      </c>
      <c r="G137">
        <v>304</v>
      </c>
      <c r="H137">
        <v>0.02</v>
      </c>
      <c r="I137">
        <v>6.08</v>
      </c>
      <c r="J137">
        <v>298</v>
      </c>
      <c r="K137" t="s">
        <v>29</v>
      </c>
    </row>
    <row r="138" spans="1:11" x14ac:dyDescent="0.3">
      <c r="A138" t="s">
        <v>169</v>
      </c>
      <c r="B138" s="1">
        <v>43295</v>
      </c>
      <c r="C138" t="s">
        <v>16</v>
      </c>
      <c r="D138" t="s">
        <v>13</v>
      </c>
      <c r="E138">
        <v>18</v>
      </c>
      <c r="F138">
        <v>40</v>
      </c>
      <c r="G138">
        <v>720</v>
      </c>
      <c r="H138">
        <v>0.06</v>
      </c>
      <c r="I138">
        <v>43.199999999999996</v>
      </c>
      <c r="J138">
        <v>677</v>
      </c>
      <c r="K138" t="s">
        <v>33</v>
      </c>
    </row>
    <row r="139" spans="1:11" x14ac:dyDescent="0.3">
      <c r="A139" t="s">
        <v>170</v>
      </c>
      <c r="B139" s="1">
        <v>43295</v>
      </c>
      <c r="C139" t="s">
        <v>35</v>
      </c>
      <c r="D139" t="s">
        <v>32</v>
      </c>
      <c r="E139">
        <v>23</v>
      </c>
      <c r="F139">
        <v>150</v>
      </c>
      <c r="G139">
        <v>3450</v>
      </c>
      <c r="H139">
        <v>0.08</v>
      </c>
      <c r="I139">
        <v>276</v>
      </c>
      <c r="J139">
        <v>3174</v>
      </c>
      <c r="K139" t="s">
        <v>36</v>
      </c>
    </row>
    <row r="140" spans="1:11" x14ac:dyDescent="0.3">
      <c r="A140" t="s">
        <v>171</v>
      </c>
      <c r="B140" s="1">
        <v>43295</v>
      </c>
      <c r="C140" t="s">
        <v>20</v>
      </c>
      <c r="D140" t="s">
        <v>13</v>
      </c>
      <c r="E140">
        <v>5</v>
      </c>
      <c r="F140">
        <v>230</v>
      </c>
      <c r="G140">
        <v>1150</v>
      </c>
      <c r="H140">
        <v>0.1</v>
      </c>
      <c r="I140">
        <v>115</v>
      </c>
      <c r="J140">
        <v>1035</v>
      </c>
      <c r="K140" t="s">
        <v>38</v>
      </c>
    </row>
    <row r="141" spans="1:11" x14ac:dyDescent="0.3">
      <c r="A141" t="s">
        <v>172</v>
      </c>
      <c r="B141" s="1">
        <v>43295</v>
      </c>
      <c r="C141" t="s">
        <v>12</v>
      </c>
      <c r="D141" t="s">
        <v>28</v>
      </c>
      <c r="E141">
        <v>21</v>
      </c>
      <c r="F141">
        <v>80</v>
      </c>
      <c r="G141">
        <v>1680</v>
      </c>
      <c r="H141">
        <v>0.02</v>
      </c>
      <c r="I141">
        <v>33.6</v>
      </c>
      <c r="J141">
        <v>1646</v>
      </c>
      <c r="K141" t="s">
        <v>40</v>
      </c>
    </row>
    <row r="142" spans="1:11" x14ac:dyDescent="0.3">
      <c r="A142" t="s">
        <v>173</v>
      </c>
      <c r="B142" s="1">
        <v>43295</v>
      </c>
      <c r="C142" t="s">
        <v>31</v>
      </c>
      <c r="D142" t="s">
        <v>25</v>
      </c>
      <c r="E142">
        <v>6</v>
      </c>
      <c r="F142">
        <v>16</v>
      </c>
      <c r="G142">
        <v>96</v>
      </c>
      <c r="H142">
        <v>7.0000000000000007E-2</v>
      </c>
      <c r="I142">
        <v>6.7200000000000006</v>
      </c>
      <c r="J142">
        <v>89</v>
      </c>
      <c r="K142" t="s">
        <v>14</v>
      </c>
    </row>
    <row r="143" spans="1:11" x14ac:dyDescent="0.3">
      <c r="A143" t="s">
        <v>174</v>
      </c>
      <c r="B143" s="1">
        <v>43295</v>
      </c>
      <c r="C143" t="s">
        <v>16</v>
      </c>
      <c r="D143" t="s">
        <v>13</v>
      </c>
      <c r="E143">
        <v>9</v>
      </c>
      <c r="F143">
        <v>40</v>
      </c>
      <c r="G143">
        <v>360</v>
      </c>
      <c r="H143">
        <v>0.01</v>
      </c>
      <c r="I143">
        <v>3.6</v>
      </c>
      <c r="J143">
        <v>356</v>
      </c>
      <c r="K143" t="s">
        <v>18</v>
      </c>
    </row>
    <row r="144" spans="1:11" x14ac:dyDescent="0.3">
      <c r="A144" t="s">
        <v>175</v>
      </c>
      <c r="B144" s="1">
        <v>43295</v>
      </c>
      <c r="C144" t="s">
        <v>20</v>
      </c>
      <c r="D144" t="s">
        <v>17</v>
      </c>
      <c r="E144">
        <v>9</v>
      </c>
      <c r="F144">
        <v>230</v>
      </c>
      <c r="G144">
        <v>2070</v>
      </c>
      <c r="H144">
        <v>0.03</v>
      </c>
      <c r="I144">
        <v>62.099999999999994</v>
      </c>
      <c r="J144">
        <v>2008</v>
      </c>
      <c r="K144" t="s">
        <v>21</v>
      </c>
    </row>
    <row r="145" spans="1:11" x14ac:dyDescent="0.3">
      <c r="A145" t="s">
        <v>176</v>
      </c>
      <c r="B145" s="1">
        <v>43295</v>
      </c>
      <c r="C145" t="s">
        <v>20</v>
      </c>
      <c r="D145" t="s">
        <v>25</v>
      </c>
      <c r="E145">
        <v>5</v>
      </c>
      <c r="F145">
        <v>230</v>
      </c>
      <c r="G145">
        <v>1150</v>
      </c>
      <c r="H145">
        <v>0.1</v>
      </c>
      <c r="I145">
        <v>115</v>
      </c>
      <c r="J145">
        <v>1035</v>
      </c>
      <c r="K145" t="s">
        <v>23</v>
      </c>
    </row>
    <row r="146" spans="1:11" x14ac:dyDescent="0.3">
      <c r="A146" t="s">
        <v>177</v>
      </c>
      <c r="B146" s="1">
        <v>43295</v>
      </c>
      <c r="C146" t="s">
        <v>16</v>
      </c>
      <c r="D146" t="s">
        <v>28</v>
      </c>
      <c r="E146">
        <v>7</v>
      </c>
      <c r="F146">
        <v>40</v>
      </c>
      <c r="G146">
        <v>280</v>
      </c>
      <c r="H146">
        <v>0.11</v>
      </c>
      <c r="I146">
        <v>30.8</v>
      </c>
      <c r="J146">
        <v>249</v>
      </c>
      <c r="K146" t="s">
        <v>26</v>
      </c>
    </row>
    <row r="147" spans="1:11" x14ac:dyDescent="0.3">
      <c r="A147" t="s">
        <v>178</v>
      </c>
      <c r="B147" s="1">
        <v>43295</v>
      </c>
      <c r="C147" t="s">
        <v>20</v>
      </c>
      <c r="D147" t="s">
        <v>13</v>
      </c>
      <c r="E147">
        <v>20</v>
      </c>
      <c r="F147">
        <v>230</v>
      </c>
      <c r="G147">
        <v>4600</v>
      </c>
      <c r="H147">
        <v>0.04</v>
      </c>
      <c r="I147">
        <v>184</v>
      </c>
      <c r="J147">
        <v>4416</v>
      </c>
      <c r="K147" t="s">
        <v>29</v>
      </c>
    </row>
    <row r="148" spans="1:11" x14ac:dyDescent="0.3">
      <c r="A148" t="s">
        <v>179</v>
      </c>
      <c r="B148" s="1">
        <v>43295</v>
      </c>
      <c r="C148" t="s">
        <v>35</v>
      </c>
      <c r="D148" t="s">
        <v>13</v>
      </c>
      <c r="E148">
        <v>22</v>
      </c>
      <c r="F148">
        <v>150</v>
      </c>
      <c r="G148">
        <v>3300</v>
      </c>
      <c r="H148">
        <v>7.0000000000000007E-2</v>
      </c>
      <c r="I148">
        <v>231.00000000000003</v>
      </c>
      <c r="J148">
        <v>3069</v>
      </c>
      <c r="K148" t="s">
        <v>33</v>
      </c>
    </row>
    <row r="149" spans="1:11" x14ac:dyDescent="0.3">
      <c r="A149" t="s">
        <v>180</v>
      </c>
      <c r="B149" s="1">
        <v>43296</v>
      </c>
      <c r="C149" t="s">
        <v>20</v>
      </c>
      <c r="D149" t="s">
        <v>25</v>
      </c>
      <c r="E149">
        <v>6</v>
      </c>
      <c r="F149">
        <v>230</v>
      </c>
      <c r="G149">
        <v>1380</v>
      </c>
      <c r="H149">
        <v>0.05</v>
      </c>
      <c r="I149">
        <v>69</v>
      </c>
      <c r="J149">
        <v>1311</v>
      </c>
      <c r="K149" t="s">
        <v>36</v>
      </c>
    </row>
    <row r="150" spans="1:11" x14ac:dyDescent="0.3">
      <c r="A150" t="s">
        <v>181</v>
      </c>
      <c r="B150" s="1">
        <v>43296</v>
      </c>
      <c r="C150" t="s">
        <v>20</v>
      </c>
      <c r="D150" t="s">
        <v>25</v>
      </c>
      <c r="E150">
        <v>15</v>
      </c>
      <c r="F150">
        <v>230</v>
      </c>
      <c r="G150">
        <v>3450</v>
      </c>
      <c r="H150">
        <v>0.11</v>
      </c>
      <c r="I150">
        <v>379.5</v>
      </c>
      <c r="J150">
        <v>3070</v>
      </c>
      <c r="K150" t="s">
        <v>38</v>
      </c>
    </row>
    <row r="151" spans="1:11" x14ac:dyDescent="0.3">
      <c r="A151" t="s">
        <v>182</v>
      </c>
      <c r="B151" s="1">
        <v>43296</v>
      </c>
      <c r="C151" t="s">
        <v>16</v>
      </c>
      <c r="D151" t="s">
        <v>17</v>
      </c>
      <c r="E151">
        <v>8</v>
      </c>
      <c r="F151">
        <v>40</v>
      </c>
      <c r="G151">
        <v>320</v>
      </c>
      <c r="H151">
        <v>0.09</v>
      </c>
      <c r="I151">
        <v>28.799999999999997</v>
      </c>
      <c r="J151">
        <v>291</v>
      </c>
      <c r="K151" t="s">
        <v>40</v>
      </c>
    </row>
    <row r="152" spans="1:11" x14ac:dyDescent="0.3">
      <c r="A152" t="s">
        <v>183</v>
      </c>
      <c r="B152" s="1">
        <v>43296</v>
      </c>
      <c r="C152" t="s">
        <v>16</v>
      </c>
      <c r="D152" t="s">
        <v>13</v>
      </c>
      <c r="E152">
        <v>5</v>
      </c>
      <c r="F152">
        <v>40</v>
      </c>
      <c r="G152">
        <v>200</v>
      </c>
      <c r="H152">
        <v>0.06</v>
      </c>
      <c r="I152">
        <v>12</v>
      </c>
      <c r="J152">
        <v>188</v>
      </c>
      <c r="K152" t="s">
        <v>42</v>
      </c>
    </row>
    <row r="153" spans="1:11" x14ac:dyDescent="0.3">
      <c r="A153" t="s">
        <v>184</v>
      </c>
      <c r="B153" s="1">
        <v>43296</v>
      </c>
      <c r="C153" t="s">
        <v>12</v>
      </c>
      <c r="D153" t="s">
        <v>32</v>
      </c>
      <c r="E153">
        <v>6</v>
      </c>
      <c r="F153">
        <v>80</v>
      </c>
      <c r="G153">
        <v>480</v>
      </c>
      <c r="H153">
        <v>0.09</v>
      </c>
      <c r="I153">
        <v>43.199999999999996</v>
      </c>
      <c r="J153">
        <v>437</v>
      </c>
      <c r="K153" t="s">
        <v>44</v>
      </c>
    </row>
    <row r="154" spans="1:11" x14ac:dyDescent="0.3">
      <c r="A154" t="s">
        <v>185</v>
      </c>
      <c r="B154" s="1">
        <v>43296</v>
      </c>
      <c r="C154" t="s">
        <v>16</v>
      </c>
      <c r="D154" t="s">
        <v>28</v>
      </c>
      <c r="E154">
        <v>22</v>
      </c>
      <c r="F154">
        <v>40</v>
      </c>
      <c r="G154">
        <v>880</v>
      </c>
      <c r="H154">
        <v>0.01</v>
      </c>
      <c r="I154">
        <v>8.8000000000000007</v>
      </c>
      <c r="J154">
        <v>871</v>
      </c>
      <c r="K154" t="s">
        <v>14</v>
      </c>
    </row>
    <row r="155" spans="1:11" x14ac:dyDescent="0.3">
      <c r="A155" t="s">
        <v>186</v>
      </c>
      <c r="B155" s="1">
        <v>43296</v>
      </c>
      <c r="C155" t="s">
        <v>31</v>
      </c>
      <c r="D155" t="s">
        <v>13</v>
      </c>
      <c r="E155">
        <v>7</v>
      </c>
      <c r="F155">
        <v>16</v>
      </c>
      <c r="G155">
        <v>112</v>
      </c>
      <c r="H155">
        <v>0.08</v>
      </c>
      <c r="I155">
        <v>8.9600000000000009</v>
      </c>
      <c r="J155">
        <v>103</v>
      </c>
      <c r="K155" t="s">
        <v>18</v>
      </c>
    </row>
    <row r="156" spans="1:11" x14ac:dyDescent="0.3">
      <c r="A156" t="s">
        <v>187</v>
      </c>
      <c r="B156" s="1">
        <v>43296</v>
      </c>
      <c r="C156" t="s">
        <v>35</v>
      </c>
      <c r="D156" t="s">
        <v>25</v>
      </c>
      <c r="E156">
        <v>22</v>
      </c>
      <c r="F156">
        <v>150</v>
      </c>
      <c r="G156">
        <v>3300</v>
      </c>
      <c r="H156">
        <v>0.04</v>
      </c>
      <c r="I156">
        <v>132</v>
      </c>
      <c r="J156">
        <v>3168</v>
      </c>
      <c r="K156" t="s">
        <v>21</v>
      </c>
    </row>
    <row r="157" spans="1:11" x14ac:dyDescent="0.3">
      <c r="A157" t="s">
        <v>188</v>
      </c>
      <c r="B157" s="1">
        <v>43296</v>
      </c>
      <c r="C157" t="s">
        <v>31</v>
      </c>
      <c r="D157" t="s">
        <v>28</v>
      </c>
      <c r="E157">
        <v>15</v>
      </c>
      <c r="F157">
        <v>16</v>
      </c>
      <c r="G157">
        <v>240</v>
      </c>
      <c r="H157">
        <v>0.12</v>
      </c>
      <c r="I157">
        <v>28.799999999999997</v>
      </c>
      <c r="J157">
        <v>211</v>
      </c>
      <c r="K157" t="s">
        <v>23</v>
      </c>
    </row>
    <row r="158" spans="1:11" x14ac:dyDescent="0.3">
      <c r="A158" t="s">
        <v>189</v>
      </c>
      <c r="B158" s="1">
        <v>43296</v>
      </c>
      <c r="C158" t="s">
        <v>12</v>
      </c>
      <c r="D158" t="s">
        <v>25</v>
      </c>
      <c r="E158">
        <v>20</v>
      </c>
      <c r="F158">
        <v>80</v>
      </c>
      <c r="G158">
        <v>1600</v>
      </c>
      <c r="H158">
        <v>7.0000000000000007E-2</v>
      </c>
      <c r="I158">
        <v>112.00000000000001</v>
      </c>
      <c r="J158">
        <v>1488</v>
      </c>
      <c r="K158" t="s">
        <v>26</v>
      </c>
    </row>
    <row r="159" spans="1:11" x14ac:dyDescent="0.3">
      <c r="A159" t="s">
        <v>190</v>
      </c>
      <c r="B159" s="1">
        <v>43296</v>
      </c>
      <c r="C159" t="s">
        <v>12</v>
      </c>
      <c r="D159" t="s">
        <v>25</v>
      </c>
      <c r="E159">
        <v>7</v>
      </c>
      <c r="F159">
        <v>80</v>
      </c>
      <c r="G159">
        <v>560</v>
      </c>
      <c r="H159">
        <v>0.05</v>
      </c>
      <c r="I159">
        <v>28</v>
      </c>
      <c r="J159">
        <v>532</v>
      </c>
      <c r="K159" t="s">
        <v>29</v>
      </c>
    </row>
    <row r="160" spans="1:11" x14ac:dyDescent="0.3">
      <c r="A160" t="s">
        <v>191</v>
      </c>
      <c r="B160" s="1">
        <v>43296</v>
      </c>
      <c r="C160" t="s">
        <v>12</v>
      </c>
      <c r="D160" t="s">
        <v>17</v>
      </c>
      <c r="E160">
        <v>10</v>
      </c>
      <c r="F160">
        <v>80</v>
      </c>
      <c r="G160">
        <v>800</v>
      </c>
      <c r="H160">
        <v>0.11</v>
      </c>
      <c r="I160">
        <v>88</v>
      </c>
      <c r="J160">
        <v>712</v>
      </c>
      <c r="K160" t="s">
        <v>33</v>
      </c>
    </row>
    <row r="161" spans="1:11" x14ac:dyDescent="0.3">
      <c r="A161" t="s">
        <v>192</v>
      </c>
      <c r="B161" s="1">
        <v>43296</v>
      </c>
      <c r="C161" t="s">
        <v>12</v>
      </c>
      <c r="D161" t="s">
        <v>17</v>
      </c>
      <c r="E161">
        <v>2</v>
      </c>
      <c r="F161">
        <v>80</v>
      </c>
      <c r="G161">
        <v>160</v>
      </c>
      <c r="H161">
        <v>7.0000000000000007E-2</v>
      </c>
      <c r="I161">
        <v>11.200000000000001</v>
      </c>
      <c r="J161">
        <v>149</v>
      </c>
      <c r="K161" t="s">
        <v>36</v>
      </c>
    </row>
    <row r="162" spans="1:11" x14ac:dyDescent="0.3">
      <c r="A162" t="s">
        <v>193</v>
      </c>
      <c r="B162" s="1">
        <v>43296</v>
      </c>
      <c r="C162" t="s">
        <v>31</v>
      </c>
      <c r="D162" t="s">
        <v>32</v>
      </c>
      <c r="E162">
        <v>23</v>
      </c>
      <c r="F162">
        <v>16</v>
      </c>
      <c r="G162">
        <v>368</v>
      </c>
      <c r="H162">
        <v>0.01</v>
      </c>
      <c r="I162">
        <v>3.68</v>
      </c>
      <c r="J162">
        <v>364</v>
      </c>
      <c r="K162" t="s">
        <v>38</v>
      </c>
    </row>
    <row r="163" spans="1:11" x14ac:dyDescent="0.3">
      <c r="A163" t="s">
        <v>194</v>
      </c>
      <c r="B163" s="1">
        <v>43296</v>
      </c>
      <c r="C163" t="s">
        <v>20</v>
      </c>
      <c r="D163" t="s">
        <v>17</v>
      </c>
      <c r="E163">
        <v>12</v>
      </c>
      <c r="F163">
        <v>230</v>
      </c>
      <c r="G163">
        <v>2760</v>
      </c>
      <c r="H163">
        <v>0.03</v>
      </c>
      <c r="I163">
        <v>82.8</v>
      </c>
      <c r="J163">
        <v>2677</v>
      </c>
      <c r="K163" t="s">
        <v>40</v>
      </c>
    </row>
    <row r="164" spans="1:11" x14ac:dyDescent="0.3">
      <c r="A164" t="s">
        <v>195</v>
      </c>
      <c r="B164" s="1">
        <v>43297</v>
      </c>
      <c r="C164" t="s">
        <v>20</v>
      </c>
      <c r="D164" t="s">
        <v>13</v>
      </c>
      <c r="E164">
        <v>7</v>
      </c>
      <c r="F164">
        <v>230</v>
      </c>
      <c r="G164">
        <v>1610</v>
      </c>
      <c r="H164">
        <v>0.08</v>
      </c>
      <c r="I164">
        <v>128.80000000000001</v>
      </c>
      <c r="J164">
        <v>1481</v>
      </c>
      <c r="K164" t="s">
        <v>42</v>
      </c>
    </row>
    <row r="165" spans="1:11" x14ac:dyDescent="0.3">
      <c r="A165" t="s">
        <v>196</v>
      </c>
      <c r="B165" s="1">
        <v>43297</v>
      </c>
      <c r="C165" t="s">
        <v>16</v>
      </c>
      <c r="D165" t="s">
        <v>28</v>
      </c>
      <c r="E165">
        <v>11</v>
      </c>
      <c r="F165">
        <v>40</v>
      </c>
      <c r="G165">
        <v>440</v>
      </c>
      <c r="H165">
        <v>0.06</v>
      </c>
      <c r="I165">
        <v>26.4</v>
      </c>
      <c r="J165">
        <v>414</v>
      </c>
      <c r="K165" t="s">
        <v>44</v>
      </c>
    </row>
    <row r="166" spans="1:11" x14ac:dyDescent="0.3">
      <c r="A166" t="s">
        <v>197</v>
      </c>
      <c r="B166" s="1">
        <v>43297</v>
      </c>
      <c r="C166" t="s">
        <v>20</v>
      </c>
      <c r="D166" t="s">
        <v>17</v>
      </c>
      <c r="E166">
        <v>7</v>
      </c>
      <c r="F166">
        <v>230</v>
      </c>
      <c r="G166">
        <v>1610</v>
      </c>
      <c r="H166">
        <v>0.08</v>
      </c>
      <c r="I166">
        <v>128.80000000000001</v>
      </c>
      <c r="J166">
        <v>1481</v>
      </c>
      <c r="K166" t="s">
        <v>14</v>
      </c>
    </row>
    <row r="167" spans="1:11" x14ac:dyDescent="0.3">
      <c r="A167" t="s">
        <v>198</v>
      </c>
      <c r="B167" s="1">
        <v>43297</v>
      </c>
      <c r="C167" t="s">
        <v>12</v>
      </c>
      <c r="D167" t="s">
        <v>13</v>
      </c>
      <c r="E167">
        <v>8</v>
      </c>
      <c r="F167">
        <v>80</v>
      </c>
      <c r="G167">
        <v>640</v>
      </c>
      <c r="H167">
        <v>0.09</v>
      </c>
      <c r="I167">
        <v>57.599999999999994</v>
      </c>
      <c r="J167">
        <v>582</v>
      </c>
      <c r="K167" t="s">
        <v>18</v>
      </c>
    </row>
    <row r="168" spans="1:11" x14ac:dyDescent="0.3">
      <c r="A168" t="s">
        <v>199</v>
      </c>
      <c r="B168" s="1">
        <v>43297</v>
      </c>
      <c r="C168" t="s">
        <v>12</v>
      </c>
      <c r="D168" t="s">
        <v>28</v>
      </c>
      <c r="E168">
        <v>16</v>
      </c>
      <c r="F168">
        <v>80</v>
      </c>
      <c r="G168">
        <v>1280</v>
      </c>
      <c r="H168">
        <v>7.0000000000000007E-2</v>
      </c>
      <c r="I168">
        <v>89.600000000000009</v>
      </c>
      <c r="J168">
        <v>1190</v>
      </c>
      <c r="K168" t="s">
        <v>21</v>
      </c>
    </row>
    <row r="169" spans="1:11" x14ac:dyDescent="0.3">
      <c r="A169" t="s">
        <v>200</v>
      </c>
      <c r="B169" s="1">
        <v>43297</v>
      </c>
      <c r="C169" t="s">
        <v>12</v>
      </c>
      <c r="D169" t="s">
        <v>25</v>
      </c>
      <c r="E169">
        <v>16</v>
      </c>
      <c r="F169">
        <v>80</v>
      </c>
      <c r="G169">
        <v>1280</v>
      </c>
      <c r="H169">
        <v>0.04</v>
      </c>
      <c r="I169">
        <v>51.2</v>
      </c>
      <c r="J169">
        <v>1229</v>
      </c>
      <c r="K169" t="s">
        <v>23</v>
      </c>
    </row>
    <row r="170" spans="1:11" x14ac:dyDescent="0.3">
      <c r="A170" t="s">
        <v>201</v>
      </c>
      <c r="B170" s="1">
        <v>43297</v>
      </c>
      <c r="C170" t="s">
        <v>31</v>
      </c>
      <c r="D170" t="s">
        <v>25</v>
      </c>
      <c r="E170">
        <v>9</v>
      </c>
      <c r="F170">
        <v>16</v>
      </c>
      <c r="G170">
        <v>144</v>
      </c>
      <c r="H170">
        <v>0.05</v>
      </c>
      <c r="I170">
        <v>7.2</v>
      </c>
      <c r="J170">
        <v>137</v>
      </c>
      <c r="K170" t="s">
        <v>26</v>
      </c>
    </row>
    <row r="171" spans="1:11" x14ac:dyDescent="0.3">
      <c r="A171" t="s">
        <v>202</v>
      </c>
      <c r="B171" s="1">
        <v>43297</v>
      </c>
      <c r="C171" t="s">
        <v>35</v>
      </c>
      <c r="D171" t="s">
        <v>32</v>
      </c>
      <c r="E171">
        <v>11</v>
      </c>
      <c r="F171">
        <v>150</v>
      </c>
      <c r="G171">
        <v>1650</v>
      </c>
      <c r="H171">
        <v>0.09</v>
      </c>
      <c r="I171">
        <v>148.5</v>
      </c>
      <c r="J171">
        <v>1502</v>
      </c>
      <c r="K171" t="s">
        <v>29</v>
      </c>
    </row>
    <row r="172" spans="1:11" x14ac:dyDescent="0.3">
      <c r="A172" t="s">
        <v>203</v>
      </c>
      <c r="B172" s="1">
        <v>43297</v>
      </c>
      <c r="C172" t="s">
        <v>31</v>
      </c>
      <c r="D172" t="s">
        <v>13</v>
      </c>
      <c r="E172">
        <v>4</v>
      </c>
      <c r="F172">
        <v>16</v>
      </c>
      <c r="G172">
        <v>64</v>
      </c>
      <c r="H172">
        <v>0.12</v>
      </c>
      <c r="I172">
        <v>7.68</v>
      </c>
      <c r="J172">
        <v>56</v>
      </c>
      <c r="K172" t="s">
        <v>33</v>
      </c>
    </row>
    <row r="173" spans="1:11" x14ac:dyDescent="0.3">
      <c r="A173" t="s">
        <v>204</v>
      </c>
      <c r="B173" s="1">
        <v>43297</v>
      </c>
      <c r="C173" t="s">
        <v>16</v>
      </c>
      <c r="D173" t="s">
        <v>28</v>
      </c>
      <c r="E173">
        <v>15</v>
      </c>
      <c r="F173">
        <v>40</v>
      </c>
      <c r="G173">
        <v>600</v>
      </c>
      <c r="H173">
        <v>0.03</v>
      </c>
      <c r="I173">
        <v>18</v>
      </c>
      <c r="J173">
        <v>582</v>
      </c>
      <c r="K173" t="s">
        <v>36</v>
      </c>
    </row>
    <row r="174" spans="1:11" x14ac:dyDescent="0.3">
      <c r="A174" t="s">
        <v>205</v>
      </c>
      <c r="B174" s="1">
        <v>43297</v>
      </c>
      <c r="C174" t="s">
        <v>16</v>
      </c>
      <c r="D174" t="s">
        <v>32</v>
      </c>
      <c r="E174">
        <v>20</v>
      </c>
      <c r="F174">
        <v>40</v>
      </c>
      <c r="G174">
        <v>800</v>
      </c>
      <c r="H174">
        <v>0.03</v>
      </c>
      <c r="I174">
        <v>24</v>
      </c>
      <c r="J174">
        <v>776</v>
      </c>
      <c r="K174" t="s">
        <v>38</v>
      </c>
    </row>
    <row r="175" spans="1:11" x14ac:dyDescent="0.3">
      <c r="A175" t="s">
        <v>206</v>
      </c>
      <c r="B175" s="1">
        <v>43298</v>
      </c>
      <c r="C175" t="s">
        <v>35</v>
      </c>
      <c r="D175" t="s">
        <v>25</v>
      </c>
      <c r="E175">
        <v>9</v>
      </c>
      <c r="F175">
        <v>150</v>
      </c>
      <c r="G175">
        <v>1350</v>
      </c>
      <c r="H175">
        <v>0.06</v>
      </c>
      <c r="I175">
        <v>81</v>
      </c>
      <c r="J175">
        <v>1269</v>
      </c>
      <c r="K175" t="s">
        <v>40</v>
      </c>
    </row>
    <row r="176" spans="1:11" x14ac:dyDescent="0.3">
      <c r="A176" t="s">
        <v>207</v>
      </c>
      <c r="B176" s="1">
        <v>43298</v>
      </c>
      <c r="C176" t="s">
        <v>16</v>
      </c>
      <c r="D176" t="s">
        <v>17</v>
      </c>
      <c r="E176">
        <v>23</v>
      </c>
      <c r="F176">
        <v>40</v>
      </c>
      <c r="G176">
        <v>920</v>
      </c>
      <c r="H176">
        <v>0.06</v>
      </c>
      <c r="I176">
        <v>55.199999999999996</v>
      </c>
      <c r="J176">
        <v>865</v>
      </c>
      <c r="K176" t="s">
        <v>42</v>
      </c>
    </row>
    <row r="177" spans="1:11" x14ac:dyDescent="0.3">
      <c r="A177" t="s">
        <v>208</v>
      </c>
      <c r="B177" s="1">
        <v>43298</v>
      </c>
      <c r="C177" t="s">
        <v>12</v>
      </c>
      <c r="D177" t="s">
        <v>32</v>
      </c>
      <c r="E177">
        <v>13</v>
      </c>
      <c r="F177">
        <v>80</v>
      </c>
      <c r="G177">
        <v>1040</v>
      </c>
      <c r="H177">
        <v>0.05</v>
      </c>
      <c r="I177">
        <v>52</v>
      </c>
      <c r="J177">
        <v>988</v>
      </c>
      <c r="K177" t="s">
        <v>44</v>
      </c>
    </row>
    <row r="178" spans="1:11" x14ac:dyDescent="0.3">
      <c r="A178" t="s">
        <v>209</v>
      </c>
      <c r="B178" s="1">
        <v>43298</v>
      </c>
      <c r="C178" t="s">
        <v>31</v>
      </c>
      <c r="D178" t="s">
        <v>13</v>
      </c>
      <c r="E178">
        <v>22</v>
      </c>
      <c r="F178">
        <v>16</v>
      </c>
      <c r="G178">
        <v>352</v>
      </c>
      <c r="H178">
        <v>0.01</v>
      </c>
      <c r="I178">
        <v>3.52</v>
      </c>
      <c r="J178">
        <v>348</v>
      </c>
      <c r="K178" t="s">
        <v>14</v>
      </c>
    </row>
    <row r="179" spans="1:11" x14ac:dyDescent="0.3">
      <c r="A179" t="s">
        <v>210</v>
      </c>
      <c r="B179" s="1">
        <v>43298</v>
      </c>
      <c r="C179" t="s">
        <v>16</v>
      </c>
      <c r="D179" t="s">
        <v>13</v>
      </c>
      <c r="E179">
        <v>19</v>
      </c>
      <c r="F179">
        <v>40</v>
      </c>
      <c r="G179">
        <v>760</v>
      </c>
      <c r="H179">
        <v>0.04</v>
      </c>
      <c r="I179">
        <v>30.400000000000002</v>
      </c>
      <c r="J179">
        <v>730</v>
      </c>
      <c r="K179" t="s">
        <v>18</v>
      </c>
    </row>
    <row r="180" spans="1:11" x14ac:dyDescent="0.3">
      <c r="A180" t="s">
        <v>211</v>
      </c>
      <c r="B180" s="1">
        <v>43298</v>
      </c>
      <c r="C180" t="s">
        <v>12</v>
      </c>
      <c r="D180" t="s">
        <v>28</v>
      </c>
      <c r="E180">
        <v>4</v>
      </c>
      <c r="F180">
        <v>80</v>
      </c>
      <c r="G180">
        <v>320</v>
      </c>
      <c r="H180">
        <v>0.11</v>
      </c>
      <c r="I180">
        <v>35.200000000000003</v>
      </c>
      <c r="J180">
        <v>285</v>
      </c>
      <c r="K180" t="s">
        <v>21</v>
      </c>
    </row>
    <row r="181" spans="1:11" x14ac:dyDescent="0.3">
      <c r="A181" t="s">
        <v>212</v>
      </c>
      <c r="B181" s="1">
        <v>43298</v>
      </c>
      <c r="C181" t="s">
        <v>31</v>
      </c>
      <c r="D181" t="s">
        <v>13</v>
      </c>
      <c r="E181">
        <v>12</v>
      </c>
      <c r="F181">
        <v>16</v>
      </c>
      <c r="G181">
        <v>192</v>
      </c>
      <c r="H181">
        <v>0.11</v>
      </c>
      <c r="I181">
        <v>21.12</v>
      </c>
      <c r="J181">
        <v>171</v>
      </c>
      <c r="K181" t="s">
        <v>23</v>
      </c>
    </row>
    <row r="182" spans="1:11" x14ac:dyDescent="0.3">
      <c r="A182" t="s">
        <v>213</v>
      </c>
      <c r="B182" s="1">
        <v>43298</v>
      </c>
      <c r="C182" t="s">
        <v>35</v>
      </c>
      <c r="D182" t="s">
        <v>17</v>
      </c>
      <c r="E182">
        <v>16</v>
      </c>
      <c r="F182">
        <v>150</v>
      </c>
      <c r="G182">
        <v>2400</v>
      </c>
      <c r="H182">
        <v>0.08</v>
      </c>
      <c r="I182">
        <v>192</v>
      </c>
      <c r="J182">
        <v>2208</v>
      </c>
      <c r="K182" t="s">
        <v>26</v>
      </c>
    </row>
    <row r="183" spans="1:11" x14ac:dyDescent="0.3">
      <c r="A183" t="s">
        <v>214</v>
      </c>
      <c r="B183" s="1">
        <v>43298</v>
      </c>
      <c r="C183" t="s">
        <v>12</v>
      </c>
      <c r="D183" t="s">
        <v>13</v>
      </c>
      <c r="E183">
        <v>7</v>
      </c>
      <c r="F183">
        <v>80</v>
      </c>
      <c r="G183">
        <v>560</v>
      </c>
      <c r="H183">
        <v>0.02</v>
      </c>
      <c r="I183">
        <v>11.200000000000001</v>
      </c>
      <c r="J183">
        <v>549</v>
      </c>
      <c r="K183" t="s">
        <v>29</v>
      </c>
    </row>
    <row r="184" spans="1:11" x14ac:dyDescent="0.3">
      <c r="A184" t="s">
        <v>215</v>
      </c>
      <c r="B184" s="1">
        <v>43298</v>
      </c>
      <c r="C184" t="s">
        <v>16</v>
      </c>
      <c r="D184" t="s">
        <v>32</v>
      </c>
      <c r="E184">
        <v>20</v>
      </c>
      <c r="F184">
        <v>40</v>
      </c>
      <c r="G184">
        <v>800</v>
      </c>
      <c r="H184">
        <v>7.0000000000000007E-2</v>
      </c>
      <c r="I184">
        <v>56.000000000000007</v>
      </c>
      <c r="J184">
        <v>744</v>
      </c>
      <c r="K184" t="s">
        <v>33</v>
      </c>
    </row>
    <row r="185" spans="1:11" x14ac:dyDescent="0.3">
      <c r="A185" t="s">
        <v>216</v>
      </c>
      <c r="B185" s="1">
        <v>43298</v>
      </c>
      <c r="C185" t="s">
        <v>12</v>
      </c>
      <c r="D185" t="s">
        <v>17</v>
      </c>
      <c r="E185">
        <v>15</v>
      </c>
      <c r="F185">
        <v>80</v>
      </c>
      <c r="G185">
        <v>1200</v>
      </c>
      <c r="H185">
        <v>0.12</v>
      </c>
      <c r="I185">
        <v>144</v>
      </c>
      <c r="J185">
        <v>1056</v>
      </c>
      <c r="K185" t="s">
        <v>36</v>
      </c>
    </row>
    <row r="186" spans="1:11" x14ac:dyDescent="0.3">
      <c r="A186" t="s">
        <v>217</v>
      </c>
      <c r="B186" s="1">
        <v>43298</v>
      </c>
      <c r="C186" t="s">
        <v>16</v>
      </c>
      <c r="D186" t="s">
        <v>13</v>
      </c>
      <c r="E186">
        <v>5</v>
      </c>
      <c r="F186">
        <v>40</v>
      </c>
      <c r="G186">
        <v>200</v>
      </c>
      <c r="H186">
        <v>0.09</v>
      </c>
      <c r="I186">
        <v>18</v>
      </c>
      <c r="J186">
        <v>182</v>
      </c>
      <c r="K186" t="s">
        <v>38</v>
      </c>
    </row>
    <row r="187" spans="1:11" x14ac:dyDescent="0.3">
      <c r="A187" t="s">
        <v>218</v>
      </c>
      <c r="B187" s="1">
        <v>43298</v>
      </c>
      <c r="C187" t="s">
        <v>31</v>
      </c>
      <c r="D187" t="s">
        <v>32</v>
      </c>
      <c r="E187">
        <v>12</v>
      </c>
      <c r="F187">
        <v>16</v>
      </c>
      <c r="G187">
        <v>192</v>
      </c>
      <c r="H187">
        <v>0.04</v>
      </c>
      <c r="I187">
        <v>7.68</v>
      </c>
      <c r="J187">
        <v>184</v>
      </c>
      <c r="K187" t="s">
        <v>40</v>
      </c>
    </row>
    <row r="188" spans="1:11" x14ac:dyDescent="0.3">
      <c r="A188" t="s">
        <v>219</v>
      </c>
      <c r="B188" s="1">
        <v>43299</v>
      </c>
      <c r="C188" t="s">
        <v>35</v>
      </c>
      <c r="D188" t="s">
        <v>28</v>
      </c>
      <c r="E188">
        <v>3</v>
      </c>
      <c r="F188">
        <v>150</v>
      </c>
      <c r="G188">
        <v>450</v>
      </c>
      <c r="H188">
        <v>0.01</v>
      </c>
      <c r="I188">
        <v>4.5</v>
      </c>
      <c r="J188">
        <v>446</v>
      </c>
      <c r="K188" t="s">
        <v>42</v>
      </c>
    </row>
    <row r="189" spans="1:11" x14ac:dyDescent="0.3">
      <c r="A189" t="s">
        <v>220</v>
      </c>
      <c r="B189" s="1">
        <v>43299</v>
      </c>
      <c r="C189" t="s">
        <v>16</v>
      </c>
      <c r="D189" t="s">
        <v>32</v>
      </c>
      <c r="E189">
        <v>7</v>
      </c>
      <c r="F189">
        <v>40</v>
      </c>
      <c r="G189">
        <v>280</v>
      </c>
      <c r="H189">
        <v>0.12</v>
      </c>
      <c r="I189">
        <v>33.6</v>
      </c>
      <c r="J189">
        <v>246</v>
      </c>
      <c r="K189" t="s">
        <v>44</v>
      </c>
    </row>
    <row r="190" spans="1:11" x14ac:dyDescent="0.3">
      <c r="A190" t="s">
        <v>221</v>
      </c>
      <c r="B190" s="1">
        <v>43299</v>
      </c>
      <c r="C190" t="s">
        <v>12</v>
      </c>
      <c r="D190" t="s">
        <v>17</v>
      </c>
      <c r="E190">
        <v>2</v>
      </c>
      <c r="F190">
        <v>80</v>
      </c>
      <c r="G190">
        <v>160</v>
      </c>
      <c r="H190">
        <v>0.04</v>
      </c>
      <c r="I190">
        <v>6.4</v>
      </c>
      <c r="J190">
        <v>154</v>
      </c>
      <c r="K190" t="s">
        <v>14</v>
      </c>
    </row>
    <row r="191" spans="1:11" x14ac:dyDescent="0.3">
      <c r="A191" t="s">
        <v>222</v>
      </c>
      <c r="B191" s="1">
        <v>43299</v>
      </c>
      <c r="C191" t="s">
        <v>16</v>
      </c>
      <c r="D191" t="s">
        <v>28</v>
      </c>
      <c r="E191">
        <v>6</v>
      </c>
      <c r="F191">
        <v>40</v>
      </c>
      <c r="G191">
        <v>240</v>
      </c>
      <c r="H191">
        <v>7.0000000000000007E-2</v>
      </c>
      <c r="I191">
        <v>16.8</v>
      </c>
      <c r="J191">
        <v>223</v>
      </c>
      <c r="K191" t="s">
        <v>18</v>
      </c>
    </row>
    <row r="192" spans="1:11" x14ac:dyDescent="0.3">
      <c r="A192" t="s">
        <v>223</v>
      </c>
      <c r="B192" s="1">
        <v>43299</v>
      </c>
      <c r="C192" t="s">
        <v>31</v>
      </c>
      <c r="D192" t="s">
        <v>25</v>
      </c>
      <c r="E192">
        <v>6</v>
      </c>
      <c r="F192">
        <v>16</v>
      </c>
      <c r="G192">
        <v>96</v>
      </c>
      <c r="H192">
        <v>0.06</v>
      </c>
      <c r="I192">
        <v>5.76</v>
      </c>
      <c r="J192">
        <v>90</v>
      </c>
      <c r="K192" t="s">
        <v>21</v>
      </c>
    </row>
    <row r="193" spans="1:11" x14ac:dyDescent="0.3">
      <c r="A193" t="s">
        <v>224</v>
      </c>
      <c r="B193" s="1">
        <v>43299</v>
      </c>
      <c r="C193" t="s">
        <v>31</v>
      </c>
      <c r="D193" t="s">
        <v>13</v>
      </c>
      <c r="E193">
        <v>7</v>
      </c>
      <c r="F193">
        <v>16</v>
      </c>
      <c r="G193">
        <v>112</v>
      </c>
      <c r="H193">
        <v>0.02</v>
      </c>
      <c r="I193">
        <v>2.2400000000000002</v>
      </c>
      <c r="J193">
        <v>110</v>
      </c>
      <c r="K193" t="s">
        <v>23</v>
      </c>
    </row>
    <row r="194" spans="1:11" x14ac:dyDescent="0.3">
      <c r="A194" t="s">
        <v>225</v>
      </c>
      <c r="B194" s="1">
        <v>43299</v>
      </c>
      <c r="C194" t="s">
        <v>31</v>
      </c>
      <c r="D194" t="s">
        <v>17</v>
      </c>
      <c r="E194">
        <v>20</v>
      </c>
      <c r="F194">
        <v>16</v>
      </c>
      <c r="G194">
        <v>320</v>
      </c>
      <c r="H194">
        <v>0.06</v>
      </c>
      <c r="I194">
        <v>19.2</v>
      </c>
      <c r="J194">
        <v>301</v>
      </c>
      <c r="K194" t="s">
        <v>26</v>
      </c>
    </row>
    <row r="195" spans="1:11" x14ac:dyDescent="0.3">
      <c r="A195" t="s">
        <v>226</v>
      </c>
      <c r="B195" s="1">
        <v>43299</v>
      </c>
      <c r="C195" t="s">
        <v>31</v>
      </c>
      <c r="D195" t="s">
        <v>17</v>
      </c>
      <c r="E195">
        <v>21</v>
      </c>
      <c r="F195">
        <v>16</v>
      </c>
      <c r="G195">
        <v>336</v>
      </c>
      <c r="H195">
        <v>0.02</v>
      </c>
      <c r="I195">
        <v>6.72</v>
      </c>
      <c r="J195">
        <v>329</v>
      </c>
      <c r="K195" t="s">
        <v>29</v>
      </c>
    </row>
    <row r="196" spans="1:11" x14ac:dyDescent="0.3">
      <c r="A196" t="s">
        <v>227</v>
      </c>
      <c r="B196" s="1">
        <v>43299</v>
      </c>
      <c r="C196" t="s">
        <v>12</v>
      </c>
      <c r="D196" t="s">
        <v>28</v>
      </c>
      <c r="E196">
        <v>21</v>
      </c>
      <c r="F196">
        <v>80</v>
      </c>
      <c r="G196">
        <v>1680</v>
      </c>
      <c r="H196">
        <v>0.05</v>
      </c>
      <c r="I196">
        <v>84</v>
      </c>
      <c r="J196">
        <v>1596</v>
      </c>
      <c r="K196" t="s">
        <v>33</v>
      </c>
    </row>
    <row r="197" spans="1:11" x14ac:dyDescent="0.3">
      <c r="A197" t="s">
        <v>228</v>
      </c>
      <c r="B197" s="1">
        <v>43299</v>
      </c>
      <c r="C197" t="s">
        <v>31</v>
      </c>
      <c r="D197" t="s">
        <v>28</v>
      </c>
      <c r="E197">
        <v>10</v>
      </c>
      <c r="F197">
        <v>16</v>
      </c>
      <c r="G197">
        <v>160</v>
      </c>
      <c r="H197">
        <v>0.01</v>
      </c>
      <c r="I197">
        <v>1.6</v>
      </c>
      <c r="J197">
        <v>158</v>
      </c>
      <c r="K197" t="s">
        <v>36</v>
      </c>
    </row>
    <row r="198" spans="1:11" x14ac:dyDescent="0.3">
      <c r="A198" t="s">
        <v>229</v>
      </c>
      <c r="B198" s="1">
        <v>43300</v>
      </c>
      <c r="C198" t="s">
        <v>20</v>
      </c>
      <c r="D198" t="s">
        <v>28</v>
      </c>
      <c r="E198">
        <v>2</v>
      </c>
      <c r="F198">
        <v>230</v>
      </c>
      <c r="G198">
        <v>460</v>
      </c>
      <c r="H198">
        <v>0.09</v>
      </c>
      <c r="I198">
        <v>41.4</v>
      </c>
      <c r="J198">
        <v>419</v>
      </c>
      <c r="K198" t="s">
        <v>38</v>
      </c>
    </row>
    <row r="199" spans="1:11" x14ac:dyDescent="0.3">
      <c r="A199" t="s">
        <v>230</v>
      </c>
      <c r="B199" s="1">
        <v>43300</v>
      </c>
      <c r="C199" t="s">
        <v>35</v>
      </c>
      <c r="D199" t="s">
        <v>13</v>
      </c>
      <c r="E199">
        <v>20</v>
      </c>
      <c r="F199">
        <v>150</v>
      </c>
      <c r="G199">
        <v>3000</v>
      </c>
      <c r="H199">
        <v>0.03</v>
      </c>
      <c r="I199">
        <v>90</v>
      </c>
      <c r="J199">
        <v>2910</v>
      </c>
      <c r="K199" t="s">
        <v>40</v>
      </c>
    </row>
    <row r="200" spans="1:11" x14ac:dyDescent="0.3">
      <c r="A200" t="s">
        <v>231</v>
      </c>
      <c r="B200" s="1">
        <v>43300</v>
      </c>
      <c r="C200" t="s">
        <v>16</v>
      </c>
      <c r="D200" t="s">
        <v>13</v>
      </c>
      <c r="E200">
        <v>23</v>
      </c>
      <c r="F200">
        <v>40</v>
      </c>
      <c r="G200">
        <v>920</v>
      </c>
      <c r="H200">
        <v>0.03</v>
      </c>
      <c r="I200">
        <v>27.599999999999998</v>
      </c>
      <c r="J200">
        <v>892</v>
      </c>
      <c r="K200" t="s">
        <v>42</v>
      </c>
    </row>
    <row r="201" spans="1:11" x14ac:dyDescent="0.3">
      <c r="A201" t="s">
        <v>232</v>
      </c>
      <c r="B201" s="1">
        <v>43300</v>
      </c>
      <c r="C201" t="s">
        <v>12</v>
      </c>
      <c r="D201" t="s">
        <v>28</v>
      </c>
      <c r="E201">
        <v>17</v>
      </c>
      <c r="F201">
        <v>80</v>
      </c>
      <c r="G201">
        <v>1360</v>
      </c>
      <c r="H201">
        <v>0.05</v>
      </c>
      <c r="I201">
        <v>68</v>
      </c>
      <c r="J201">
        <v>1292</v>
      </c>
      <c r="K201" t="s">
        <v>44</v>
      </c>
    </row>
    <row r="202" spans="1:11" x14ac:dyDescent="0.3">
      <c r="A202" t="s">
        <v>233</v>
      </c>
      <c r="B202" s="1">
        <v>43300</v>
      </c>
      <c r="C202" t="s">
        <v>20</v>
      </c>
      <c r="D202" t="s">
        <v>28</v>
      </c>
      <c r="E202">
        <v>11</v>
      </c>
      <c r="F202">
        <v>230</v>
      </c>
      <c r="G202">
        <v>2530</v>
      </c>
      <c r="H202">
        <v>0.12</v>
      </c>
      <c r="I202">
        <v>303.59999999999997</v>
      </c>
      <c r="J202">
        <v>2226</v>
      </c>
      <c r="K202" t="s">
        <v>14</v>
      </c>
    </row>
    <row r="203" spans="1:11" x14ac:dyDescent="0.3">
      <c r="A203" t="s">
        <v>234</v>
      </c>
      <c r="B203" s="1">
        <v>43300</v>
      </c>
      <c r="C203" t="s">
        <v>35</v>
      </c>
      <c r="D203" t="s">
        <v>17</v>
      </c>
      <c r="E203">
        <v>10</v>
      </c>
      <c r="F203">
        <v>150</v>
      </c>
      <c r="G203">
        <v>1500</v>
      </c>
      <c r="H203">
        <v>0.01</v>
      </c>
      <c r="I203">
        <v>15</v>
      </c>
      <c r="J203">
        <v>1485</v>
      </c>
      <c r="K203" t="s">
        <v>18</v>
      </c>
    </row>
    <row r="204" spans="1:11" x14ac:dyDescent="0.3">
      <c r="A204" t="s">
        <v>235</v>
      </c>
      <c r="B204" s="1">
        <v>43300</v>
      </c>
      <c r="C204" t="s">
        <v>12</v>
      </c>
      <c r="D204" t="s">
        <v>17</v>
      </c>
      <c r="E204">
        <v>17</v>
      </c>
      <c r="F204">
        <v>80</v>
      </c>
      <c r="G204">
        <v>1360</v>
      </c>
      <c r="H204">
        <v>0.03</v>
      </c>
      <c r="I204">
        <v>40.799999999999997</v>
      </c>
      <c r="J204">
        <v>1319</v>
      </c>
      <c r="K204" t="s">
        <v>21</v>
      </c>
    </row>
    <row r="205" spans="1:11" x14ac:dyDescent="0.3">
      <c r="A205" t="s">
        <v>236</v>
      </c>
      <c r="B205" s="1">
        <v>43301</v>
      </c>
      <c r="C205" t="s">
        <v>20</v>
      </c>
      <c r="D205" t="s">
        <v>13</v>
      </c>
      <c r="E205">
        <v>9</v>
      </c>
      <c r="F205">
        <v>230</v>
      </c>
      <c r="G205">
        <v>2070</v>
      </c>
      <c r="H205">
        <v>7.0000000000000007E-2</v>
      </c>
      <c r="I205">
        <v>144.9</v>
      </c>
      <c r="J205">
        <v>1925</v>
      </c>
      <c r="K205" t="s">
        <v>23</v>
      </c>
    </row>
    <row r="206" spans="1:11" x14ac:dyDescent="0.3">
      <c r="A206" t="s">
        <v>237</v>
      </c>
      <c r="B206" s="1">
        <v>43301</v>
      </c>
      <c r="C206" t="s">
        <v>20</v>
      </c>
      <c r="D206" t="s">
        <v>13</v>
      </c>
      <c r="E206">
        <v>11</v>
      </c>
      <c r="F206">
        <v>230</v>
      </c>
      <c r="G206">
        <v>2530</v>
      </c>
      <c r="H206">
        <v>0.02</v>
      </c>
      <c r="I206">
        <v>50.6</v>
      </c>
      <c r="J206">
        <v>2479</v>
      </c>
      <c r="K206" t="s">
        <v>26</v>
      </c>
    </row>
    <row r="207" spans="1:11" x14ac:dyDescent="0.3">
      <c r="A207" t="s">
        <v>238</v>
      </c>
      <c r="B207" s="1">
        <v>43301</v>
      </c>
      <c r="C207" t="s">
        <v>16</v>
      </c>
      <c r="D207" t="s">
        <v>25</v>
      </c>
      <c r="E207">
        <v>2</v>
      </c>
      <c r="F207">
        <v>40</v>
      </c>
      <c r="G207">
        <v>80</v>
      </c>
      <c r="H207">
        <v>0.02</v>
      </c>
      <c r="I207">
        <v>1.6</v>
      </c>
      <c r="J207">
        <v>78</v>
      </c>
      <c r="K207" t="s">
        <v>29</v>
      </c>
    </row>
    <row r="208" spans="1:11" x14ac:dyDescent="0.3">
      <c r="A208" t="s">
        <v>239</v>
      </c>
      <c r="B208" s="1">
        <v>43301</v>
      </c>
      <c r="C208" t="s">
        <v>20</v>
      </c>
      <c r="D208" t="s">
        <v>32</v>
      </c>
      <c r="E208">
        <v>3</v>
      </c>
      <c r="F208">
        <v>230</v>
      </c>
      <c r="G208">
        <v>690</v>
      </c>
      <c r="H208">
        <v>0.1</v>
      </c>
      <c r="I208">
        <v>69</v>
      </c>
      <c r="J208">
        <v>621</v>
      </c>
      <c r="K208" t="s">
        <v>33</v>
      </c>
    </row>
    <row r="209" spans="1:11" x14ac:dyDescent="0.3">
      <c r="A209" t="s">
        <v>240</v>
      </c>
      <c r="B209" s="1">
        <v>43301</v>
      </c>
      <c r="C209" t="s">
        <v>16</v>
      </c>
      <c r="D209" t="s">
        <v>32</v>
      </c>
      <c r="E209">
        <v>7</v>
      </c>
      <c r="F209">
        <v>40</v>
      </c>
      <c r="G209">
        <v>280</v>
      </c>
      <c r="H209">
        <v>0.05</v>
      </c>
      <c r="I209">
        <v>14</v>
      </c>
      <c r="J209">
        <v>266</v>
      </c>
      <c r="K209" t="s">
        <v>36</v>
      </c>
    </row>
    <row r="210" spans="1:11" x14ac:dyDescent="0.3">
      <c r="A210" t="s">
        <v>241</v>
      </c>
      <c r="B210" s="1">
        <v>43301</v>
      </c>
      <c r="C210" t="s">
        <v>35</v>
      </c>
      <c r="D210" t="s">
        <v>17</v>
      </c>
      <c r="E210">
        <v>20</v>
      </c>
      <c r="F210">
        <v>150</v>
      </c>
      <c r="G210">
        <v>3000</v>
      </c>
      <c r="H210">
        <v>0.09</v>
      </c>
      <c r="I210">
        <v>270</v>
      </c>
      <c r="J210">
        <v>2730</v>
      </c>
      <c r="K210" t="s">
        <v>38</v>
      </c>
    </row>
    <row r="211" spans="1:11" x14ac:dyDescent="0.3">
      <c r="A211" t="s">
        <v>242</v>
      </c>
      <c r="B211" s="1">
        <v>43301</v>
      </c>
      <c r="C211" t="s">
        <v>16</v>
      </c>
      <c r="D211" t="s">
        <v>25</v>
      </c>
      <c r="E211">
        <v>4</v>
      </c>
      <c r="F211">
        <v>40</v>
      </c>
      <c r="G211">
        <v>160</v>
      </c>
      <c r="H211">
        <v>0.11</v>
      </c>
      <c r="I211">
        <v>17.600000000000001</v>
      </c>
      <c r="J211">
        <v>142</v>
      </c>
      <c r="K211" t="s">
        <v>40</v>
      </c>
    </row>
    <row r="212" spans="1:11" x14ac:dyDescent="0.3">
      <c r="A212" t="s">
        <v>243</v>
      </c>
      <c r="B212" s="1">
        <v>43302</v>
      </c>
      <c r="C212" t="s">
        <v>20</v>
      </c>
      <c r="D212" t="s">
        <v>25</v>
      </c>
      <c r="E212">
        <v>2</v>
      </c>
      <c r="F212">
        <v>230</v>
      </c>
      <c r="G212">
        <v>460</v>
      </c>
      <c r="H212">
        <v>0.09</v>
      </c>
      <c r="I212">
        <v>41.4</v>
      </c>
      <c r="J212">
        <v>419</v>
      </c>
      <c r="K212" t="s">
        <v>14</v>
      </c>
    </row>
    <row r="213" spans="1:11" x14ac:dyDescent="0.3">
      <c r="A213" t="s">
        <v>244</v>
      </c>
      <c r="B213" s="1">
        <v>43302</v>
      </c>
      <c r="C213" t="s">
        <v>16</v>
      </c>
      <c r="D213" t="s">
        <v>17</v>
      </c>
      <c r="E213">
        <v>7</v>
      </c>
      <c r="F213">
        <v>40</v>
      </c>
      <c r="G213">
        <v>280</v>
      </c>
      <c r="H213">
        <v>0.01</v>
      </c>
      <c r="I213">
        <v>2.8000000000000003</v>
      </c>
      <c r="J213">
        <v>277</v>
      </c>
      <c r="K213" t="s">
        <v>18</v>
      </c>
    </row>
    <row r="214" spans="1:11" x14ac:dyDescent="0.3">
      <c r="A214" t="s">
        <v>245</v>
      </c>
      <c r="B214" s="1">
        <v>43302</v>
      </c>
      <c r="C214" t="s">
        <v>16</v>
      </c>
      <c r="D214" t="s">
        <v>13</v>
      </c>
      <c r="E214">
        <v>2</v>
      </c>
      <c r="F214">
        <v>40</v>
      </c>
      <c r="G214">
        <v>80</v>
      </c>
      <c r="H214">
        <v>0.12</v>
      </c>
      <c r="I214">
        <v>9.6</v>
      </c>
      <c r="J214">
        <v>70</v>
      </c>
      <c r="K214" t="s">
        <v>21</v>
      </c>
    </row>
    <row r="215" spans="1:11" x14ac:dyDescent="0.3">
      <c r="A215" t="s">
        <v>246</v>
      </c>
      <c r="B215" s="1">
        <v>43302</v>
      </c>
      <c r="C215" t="s">
        <v>12</v>
      </c>
      <c r="D215" t="s">
        <v>17</v>
      </c>
      <c r="E215">
        <v>3</v>
      </c>
      <c r="F215">
        <v>80</v>
      </c>
      <c r="G215">
        <v>240</v>
      </c>
      <c r="H215">
        <v>0.02</v>
      </c>
      <c r="I215">
        <v>4.8</v>
      </c>
      <c r="J215">
        <v>235</v>
      </c>
      <c r="K215" t="s">
        <v>23</v>
      </c>
    </row>
    <row r="216" spans="1:11" x14ac:dyDescent="0.3">
      <c r="A216" t="s">
        <v>247</v>
      </c>
      <c r="B216" s="1">
        <v>43302</v>
      </c>
      <c r="C216" t="s">
        <v>31</v>
      </c>
      <c r="D216" t="s">
        <v>13</v>
      </c>
      <c r="E216">
        <v>18</v>
      </c>
      <c r="F216">
        <v>16</v>
      </c>
      <c r="G216">
        <v>288</v>
      </c>
      <c r="H216">
        <v>0.11</v>
      </c>
      <c r="I216">
        <v>31.68</v>
      </c>
      <c r="J216">
        <v>256</v>
      </c>
      <c r="K216" t="s">
        <v>26</v>
      </c>
    </row>
    <row r="217" spans="1:11" x14ac:dyDescent="0.3">
      <c r="A217" t="s">
        <v>248</v>
      </c>
      <c r="B217" s="1">
        <v>43302</v>
      </c>
      <c r="C217" t="s">
        <v>12</v>
      </c>
      <c r="D217" t="s">
        <v>17</v>
      </c>
      <c r="E217">
        <v>5</v>
      </c>
      <c r="F217">
        <v>80</v>
      </c>
      <c r="G217">
        <v>400</v>
      </c>
      <c r="H217">
        <v>7.0000000000000007E-2</v>
      </c>
      <c r="I217">
        <v>28.000000000000004</v>
      </c>
      <c r="J217">
        <v>372</v>
      </c>
      <c r="K217" t="s">
        <v>29</v>
      </c>
    </row>
    <row r="218" spans="1:11" x14ac:dyDescent="0.3">
      <c r="A218" t="s">
        <v>249</v>
      </c>
      <c r="B218" s="1">
        <v>43302</v>
      </c>
      <c r="C218" t="s">
        <v>31</v>
      </c>
      <c r="D218" t="s">
        <v>25</v>
      </c>
      <c r="E218">
        <v>3</v>
      </c>
      <c r="F218">
        <v>16</v>
      </c>
      <c r="G218">
        <v>48</v>
      </c>
      <c r="H218">
        <v>0.05</v>
      </c>
      <c r="I218">
        <v>2.4000000000000004</v>
      </c>
      <c r="J218">
        <v>46</v>
      </c>
      <c r="K218" t="s">
        <v>33</v>
      </c>
    </row>
    <row r="219" spans="1:11" x14ac:dyDescent="0.3">
      <c r="A219" t="s">
        <v>250</v>
      </c>
      <c r="B219" s="1">
        <v>43302</v>
      </c>
      <c r="C219" t="s">
        <v>12</v>
      </c>
      <c r="D219" t="s">
        <v>28</v>
      </c>
      <c r="E219">
        <v>7</v>
      </c>
      <c r="F219">
        <v>80</v>
      </c>
      <c r="G219">
        <v>560</v>
      </c>
      <c r="H219">
        <v>0.02</v>
      </c>
      <c r="I219">
        <v>11.200000000000001</v>
      </c>
      <c r="J219">
        <v>549</v>
      </c>
      <c r="K219" t="s">
        <v>36</v>
      </c>
    </row>
    <row r="220" spans="1:11" x14ac:dyDescent="0.3">
      <c r="A220" t="s">
        <v>251</v>
      </c>
      <c r="B220" s="1">
        <v>43302</v>
      </c>
      <c r="C220" t="s">
        <v>35</v>
      </c>
      <c r="D220" t="s">
        <v>28</v>
      </c>
      <c r="E220">
        <v>15</v>
      </c>
      <c r="F220">
        <v>150</v>
      </c>
      <c r="G220">
        <v>2250</v>
      </c>
      <c r="H220">
        <v>0.08</v>
      </c>
      <c r="I220">
        <v>180</v>
      </c>
      <c r="J220">
        <v>2070</v>
      </c>
      <c r="K220" t="s">
        <v>38</v>
      </c>
    </row>
    <row r="221" spans="1:11" x14ac:dyDescent="0.3">
      <c r="A221" t="s">
        <v>252</v>
      </c>
      <c r="B221" s="1">
        <v>43302</v>
      </c>
      <c r="C221" t="s">
        <v>12</v>
      </c>
      <c r="D221" t="s">
        <v>25</v>
      </c>
      <c r="E221">
        <v>10</v>
      </c>
      <c r="F221">
        <v>80</v>
      </c>
      <c r="G221">
        <v>800</v>
      </c>
      <c r="H221">
        <v>0.11</v>
      </c>
      <c r="I221">
        <v>88</v>
      </c>
      <c r="J221">
        <v>712</v>
      </c>
      <c r="K221" t="s">
        <v>40</v>
      </c>
    </row>
    <row r="222" spans="1:11" x14ac:dyDescent="0.3">
      <c r="A222" t="s">
        <v>253</v>
      </c>
      <c r="B222" s="1">
        <v>43302</v>
      </c>
      <c r="C222" t="s">
        <v>20</v>
      </c>
      <c r="D222" t="s">
        <v>32</v>
      </c>
      <c r="E222">
        <v>13</v>
      </c>
      <c r="F222">
        <v>230</v>
      </c>
      <c r="G222">
        <v>2990</v>
      </c>
      <c r="H222">
        <v>0.06</v>
      </c>
      <c r="I222">
        <v>179.4</v>
      </c>
      <c r="J222">
        <v>2811</v>
      </c>
      <c r="K222" t="s">
        <v>42</v>
      </c>
    </row>
    <row r="223" spans="1:11" x14ac:dyDescent="0.3">
      <c r="A223" t="s">
        <v>254</v>
      </c>
      <c r="B223" s="1">
        <v>43302</v>
      </c>
      <c r="C223" t="s">
        <v>16</v>
      </c>
      <c r="D223" t="s">
        <v>13</v>
      </c>
      <c r="E223">
        <v>7</v>
      </c>
      <c r="F223">
        <v>40</v>
      </c>
      <c r="G223">
        <v>280</v>
      </c>
      <c r="H223">
        <v>0.1</v>
      </c>
      <c r="I223">
        <v>28</v>
      </c>
      <c r="J223">
        <v>252</v>
      </c>
      <c r="K223" t="s">
        <v>44</v>
      </c>
    </row>
    <row r="224" spans="1:11" x14ac:dyDescent="0.3">
      <c r="A224" t="s">
        <v>255</v>
      </c>
      <c r="B224" s="1">
        <v>43302</v>
      </c>
      <c r="C224" t="s">
        <v>31</v>
      </c>
      <c r="D224" t="s">
        <v>25</v>
      </c>
      <c r="E224">
        <v>6</v>
      </c>
      <c r="F224">
        <v>16</v>
      </c>
      <c r="G224">
        <v>96</v>
      </c>
      <c r="H224">
        <v>0.01</v>
      </c>
      <c r="I224">
        <v>0.96</v>
      </c>
      <c r="J224">
        <v>95</v>
      </c>
      <c r="K224" t="s">
        <v>14</v>
      </c>
    </row>
    <row r="225" spans="1:11" x14ac:dyDescent="0.3">
      <c r="A225" t="s">
        <v>256</v>
      </c>
      <c r="B225" s="1">
        <v>43303</v>
      </c>
      <c r="C225" t="s">
        <v>16</v>
      </c>
      <c r="D225" t="s">
        <v>25</v>
      </c>
      <c r="E225">
        <v>11</v>
      </c>
      <c r="F225">
        <v>40</v>
      </c>
      <c r="G225">
        <v>440</v>
      </c>
      <c r="H225">
        <v>0.05</v>
      </c>
      <c r="I225">
        <v>22</v>
      </c>
      <c r="J225">
        <v>418</v>
      </c>
      <c r="K225" t="s">
        <v>18</v>
      </c>
    </row>
    <row r="226" spans="1:11" x14ac:dyDescent="0.3">
      <c r="A226" t="s">
        <v>257</v>
      </c>
      <c r="B226" s="1">
        <v>43303</v>
      </c>
      <c r="C226" t="s">
        <v>12</v>
      </c>
      <c r="D226" t="s">
        <v>28</v>
      </c>
      <c r="E226">
        <v>8</v>
      </c>
      <c r="F226">
        <v>80</v>
      </c>
      <c r="G226">
        <v>640</v>
      </c>
      <c r="H226">
        <v>0.06</v>
      </c>
      <c r="I226">
        <v>38.4</v>
      </c>
      <c r="J226">
        <v>602</v>
      </c>
      <c r="K226" t="s">
        <v>21</v>
      </c>
    </row>
    <row r="227" spans="1:11" x14ac:dyDescent="0.3">
      <c r="A227" t="s">
        <v>258</v>
      </c>
      <c r="B227" s="1">
        <v>43303</v>
      </c>
      <c r="C227" t="s">
        <v>12</v>
      </c>
      <c r="D227" t="s">
        <v>13</v>
      </c>
      <c r="E227">
        <v>9</v>
      </c>
      <c r="F227">
        <v>80</v>
      </c>
      <c r="G227">
        <v>720</v>
      </c>
      <c r="H227">
        <v>0.04</v>
      </c>
      <c r="I227">
        <v>28.8</v>
      </c>
      <c r="J227">
        <v>691</v>
      </c>
      <c r="K227" t="s">
        <v>23</v>
      </c>
    </row>
    <row r="228" spans="1:11" x14ac:dyDescent="0.3">
      <c r="A228" t="s">
        <v>259</v>
      </c>
      <c r="B228" s="1">
        <v>43303</v>
      </c>
      <c r="C228" t="s">
        <v>16</v>
      </c>
      <c r="D228" t="s">
        <v>32</v>
      </c>
      <c r="E228">
        <v>4</v>
      </c>
      <c r="F228">
        <v>40</v>
      </c>
      <c r="G228">
        <v>160</v>
      </c>
      <c r="H228">
        <v>0.09</v>
      </c>
      <c r="I228">
        <v>14.399999999999999</v>
      </c>
      <c r="J228">
        <v>146</v>
      </c>
      <c r="K228" t="s">
        <v>26</v>
      </c>
    </row>
    <row r="229" spans="1:11" x14ac:dyDescent="0.3">
      <c r="A229" t="s">
        <v>260</v>
      </c>
      <c r="B229" s="1">
        <v>43303</v>
      </c>
      <c r="C229" t="s">
        <v>12</v>
      </c>
      <c r="D229" t="s">
        <v>17</v>
      </c>
      <c r="E229">
        <v>13</v>
      </c>
      <c r="F229">
        <v>80</v>
      </c>
      <c r="G229">
        <v>1040</v>
      </c>
      <c r="H229">
        <v>0.06</v>
      </c>
      <c r="I229">
        <v>62.4</v>
      </c>
      <c r="J229">
        <v>978</v>
      </c>
      <c r="K229" t="s">
        <v>29</v>
      </c>
    </row>
    <row r="230" spans="1:11" x14ac:dyDescent="0.3">
      <c r="A230" t="s">
        <v>261</v>
      </c>
      <c r="B230" s="1">
        <v>43303</v>
      </c>
      <c r="C230" t="s">
        <v>35</v>
      </c>
      <c r="D230" t="s">
        <v>32</v>
      </c>
      <c r="E230">
        <v>4</v>
      </c>
      <c r="F230">
        <v>150</v>
      </c>
      <c r="G230">
        <v>600</v>
      </c>
      <c r="H230">
        <v>0.05</v>
      </c>
      <c r="I230">
        <v>30</v>
      </c>
      <c r="J230">
        <v>570</v>
      </c>
      <c r="K230" t="s">
        <v>33</v>
      </c>
    </row>
    <row r="231" spans="1:11" x14ac:dyDescent="0.3">
      <c r="A231" t="s">
        <v>262</v>
      </c>
      <c r="B231" s="1">
        <v>43303</v>
      </c>
      <c r="C231" t="s">
        <v>20</v>
      </c>
      <c r="D231" t="s">
        <v>25</v>
      </c>
      <c r="E231">
        <v>14</v>
      </c>
      <c r="F231">
        <v>230</v>
      </c>
      <c r="G231">
        <v>3220</v>
      </c>
      <c r="H231">
        <v>0.12</v>
      </c>
      <c r="I231">
        <v>386.4</v>
      </c>
      <c r="J231">
        <v>2834</v>
      </c>
      <c r="K231" t="s">
        <v>36</v>
      </c>
    </row>
    <row r="232" spans="1:11" x14ac:dyDescent="0.3">
      <c r="A232" t="s">
        <v>263</v>
      </c>
      <c r="B232" s="1">
        <v>43303</v>
      </c>
      <c r="C232" t="s">
        <v>35</v>
      </c>
      <c r="D232" t="s">
        <v>32</v>
      </c>
      <c r="E232">
        <v>13</v>
      </c>
      <c r="F232">
        <v>150</v>
      </c>
      <c r="G232">
        <v>1950</v>
      </c>
      <c r="H232">
        <v>0.11</v>
      </c>
      <c r="I232">
        <v>214.5</v>
      </c>
      <c r="J232">
        <v>1736</v>
      </c>
      <c r="K232" t="s">
        <v>38</v>
      </c>
    </row>
    <row r="233" spans="1:11" x14ac:dyDescent="0.3">
      <c r="A233" t="s">
        <v>264</v>
      </c>
      <c r="B233" s="1">
        <v>43303</v>
      </c>
      <c r="C233" t="s">
        <v>35</v>
      </c>
      <c r="D233" t="s">
        <v>17</v>
      </c>
      <c r="E233">
        <v>16</v>
      </c>
      <c r="F233">
        <v>150</v>
      </c>
      <c r="G233">
        <v>2400</v>
      </c>
      <c r="H233">
        <v>0.03</v>
      </c>
      <c r="I233">
        <v>72</v>
      </c>
      <c r="J233">
        <v>2328</v>
      </c>
      <c r="K233" t="s">
        <v>40</v>
      </c>
    </row>
    <row r="234" spans="1:11" x14ac:dyDescent="0.3">
      <c r="A234" t="s">
        <v>265</v>
      </c>
      <c r="B234" s="1">
        <v>43303</v>
      </c>
      <c r="C234" t="s">
        <v>31</v>
      </c>
      <c r="D234" t="s">
        <v>13</v>
      </c>
      <c r="E234">
        <v>7</v>
      </c>
      <c r="F234">
        <v>16</v>
      </c>
      <c r="G234">
        <v>112</v>
      </c>
      <c r="H234">
        <v>0.12</v>
      </c>
      <c r="I234">
        <v>13.44</v>
      </c>
      <c r="J234">
        <v>99</v>
      </c>
      <c r="K234" t="s">
        <v>42</v>
      </c>
    </row>
    <row r="235" spans="1:11" x14ac:dyDescent="0.3">
      <c r="A235" t="s">
        <v>266</v>
      </c>
      <c r="B235" s="1">
        <v>43303</v>
      </c>
      <c r="C235" t="s">
        <v>35</v>
      </c>
      <c r="D235" t="s">
        <v>28</v>
      </c>
      <c r="E235">
        <v>9</v>
      </c>
      <c r="F235">
        <v>150</v>
      </c>
      <c r="G235">
        <v>1350</v>
      </c>
      <c r="H235">
        <v>0.02</v>
      </c>
      <c r="I235">
        <v>27</v>
      </c>
      <c r="J235">
        <v>1323</v>
      </c>
      <c r="K235" t="s">
        <v>44</v>
      </c>
    </row>
    <row r="236" spans="1:11" x14ac:dyDescent="0.3">
      <c r="A236" t="s">
        <v>267</v>
      </c>
      <c r="B236" s="1">
        <v>43303</v>
      </c>
      <c r="C236" t="s">
        <v>31</v>
      </c>
      <c r="D236" t="s">
        <v>13</v>
      </c>
      <c r="E236">
        <v>10</v>
      </c>
      <c r="F236">
        <v>16</v>
      </c>
      <c r="G236">
        <v>160</v>
      </c>
      <c r="H236">
        <v>0.08</v>
      </c>
      <c r="I236">
        <v>12.8</v>
      </c>
      <c r="J236">
        <v>147</v>
      </c>
      <c r="K236" t="s">
        <v>14</v>
      </c>
    </row>
    <row r="237" spans="1:11" x14ac:dyDescent="0.3">
      <c r="A237" t="s">
        <v>268</v>
      </c>
      <c r="B237" s="1">
        <v>43303</v>
      </c>
      <c r="C237" t="s">
        <v>12</v>
      </c>
      <c r="D237" t="s">
        <v>28</v>
      </c>
      <c r="E237">
        <v>15</v>
      </c>
      <c r="F237">
        <v>80</v>
      </c>
      <c r="G237">
        <v>1200</v>
      </c>
      <c r="H237">
        <v>0.08</v>
      </c>
      <c r="I237">
        <v>96</v>
      </c>
      <c r="J237">
        <v>1104</v>
      </c>
      <c r="K237" t="s">
        <v>18</v>
      </c>
    </row>
    <row r="238" spans="1:11" x14ac:dyDescent="0.3">
      <c r="A238" t="s">
        <v>269</v>
      </c>
      <c r="B238" s="1">
        <v>43303</v>
      </c>
      <c r="C238" t="s">
        <v>12</v>
      </c>
      <c r="D238" t="s">
        <v>32</v>
      </c>
      <c r="E238">
        <v>9</v>
      </c>
      <c r="F238">
        <v>80</v>
      </c>
      <c r="G238">
        <v>720</v>
      </c>
      <c r="H238">
        <v>0.06</v>
      </c>
      <c r="I238">
        <v>43.199999999999996</v>
      </c>
      <c r="J238">
        <v>677</v>
      </c>
      <c r="K238" t="s">
        <v>21</v>
      </c>
    </row>
    <row r="239" spans="1:11" x14ac:dyDescent="0.3">
      <c r="A239" t="s">
        <v>270</v>
      </c>
      <c r="B239" s="1">
        <v>43304</v>
      </c>
      <c r="C239" t="s">
        <v>31</v>
      </c>
      <c r="D239" t="s">
        <v>28</v>
      </c>
      <c r="E239">
        <v>7</v>
      </c>
      <c r="F239">
        <v>16</v>
      </c>
      <c r="G239">
        <v>112</v>
      </c>
      <c r="H239">
        <v>0.08</v>
      </c>
      <c r="I239">
        <v>8.9600000000000009</v>
      </c>
      <c r="J239">
        <v>103</v>
      </c>
      <c r="K239" t="s">
        <v>23</v>
      </c>
    </row>
    <row r="240" spans="1:11" x14ac:dyDescent="0.3">
      <c r="A240" t="s">
        <v>271</v>
      </c>
      <c r="B240" s="1">
        <v>43304</v>
      </c>
      <c r="C240" t="s">
        <v>35</v>
      </c>
      <c r="D240" t="s">
        <v>32</v>
      </c>
      <c r="E240">
        <v>7</v>
      </c>
      <c r="F240">
        <v>150</v>
      </c>
      <c r="G240">
        <v>1050</v>
      </c>
      <c r="H240">
        <v>0.03</v>
      </c>
      <c r="I240">
        <v>31.5</v>
      </c>
      <c r="J240">
        <v>1018</v>
      </c>
      <c r="K240" t="s">
        <v>26</v>
      </c>
    </row>
    <row r="241" spans="1:11" x14ac:dyDescent="0.3">
      <c r="A241" t="s">
        <v>272</v>
      </c>
      <c r="B241" s="1">
        <v>43304</v>
      </c>
      <c r="C241" t="s">
        <v>20</v>
      </c>
      <c r="D241" t="s">
        <v>28</v>
      </c>
      <c r="E241">
        <v>16</v>
      </c>
      <c r="F241">
        <v>230</v>
      </c>
      <c r="G241">
        <v>3680</v>
      </c>
      <c r="H241">
        <v>0.11</v>
      </c>
      <c r="I241">
        <v>404.8</v>
      </c>
      <c r="J241">
        <v>3275</v>
      </c>
      <c r="K241" t="s">
        <v>29</v>
      </c>
    </row>
    <row r="242" spans="1:11" x14ac:dyDescent="0.3">
      <c r="A242" t="s">
        <v>273</v>
      </c>
      <c r="B242" s="1">
        <v>43304</v>
      </c>
      <c r="C242" t="s">
        <v>31</v>
      </c>
      <c r="D242" t="s">
        <v>28</v>
      </c>
      <c r="E242">
        <v>18</v>
      </c>
      <c r="F242">
        <v>16</v>
      </c>
      <c r="G242">
        <v>288</v>
      </c>
      <c r="H242">
        <v>0.04</v>
      </c>
      <c r="I242">
        <v>11.52</v>
      </c>
      <c r="J242">
        <v>276</v>
      </c>
      <c r="K242" t="s">
        <v>33</v>
      </c>
    </row>
    <row r="243" spans="1:11" x14ac:dyDescent="0.3">
      <c r="A243" t="s">
        <v>274</v>
      </c>
      <c r="B243" s="1">
        <v>43304</v>
      </c>
      <c r="C243" t="s">
        <v>20</v>
      </c>
      <c r="D243" t="s">
        <v>32</v>
      </c>
      <c r="E243">
        <v>20</v>
      </c>
      <c r="F243">
        <v>230</v>
      </c>
      <c r="G243">
        <v>4600</v>
      </c>
      <c r="H243">
        <v>0.11</v>
      </c>
      <c r="I243">
        <v>506</v>
      </c>
      <c r="J243">
        <v>4094</v>
      </c>
      <c r="K243" t="s">
        <v>36</v>
      </c>
    </row>
    <row r="244" spans="1:11" x14ac:dyDescent="0.3">
      <c r="A244" t="s">
        <v>275</v>
      </c>
      <c r="B244" s="1">
        <v>43304</v>
      </c>
      <c r="C244" t="s">
        <v>35</v>
      </c>
      <c r="D244" t="s">
        <v>13</v>
      </c>
      <c r="E244">
        <v>7</v>
      </c>
      <c r="F244">
        <v>150</v>
      </c>
      <c r="G244">
        <v>1050</v>
      </c>
      <c r="H244">
        <v>0.02</v>
      </c>
      <c r="I244">
        <v>21</v>
      </c>
      <c r="J244">
        <v>1029</v>
      </c>
      <c r="K244" t="s">
        <v>38</v>
      </c>
    </row>
    <row r="245" spans="1:11" x14ac:dyDescent="0.3">
      <c r="A245" t="s">
        <v>276</v>
      </c>
      <c r="B245" s="1">
        <v>43304</v>
      </c>
      <c r="C245" t="s">
        <v>31</v>
      </c>
      <c r="D245" t="s">
        <v>25</v>
      </c>
      <c r="E245">
        <v>11</v>
      </c>
      <c r="F245">
        <v>16</v>
      </c>
      <c r="G245">
        <v>176</v>
      </c>
      <c r="H245">
        <v>0.12</v>
      </c>
      <c r="I245">
        <v>21.119999999999997</v>
      </c>
      <c r="J245">
        <v>155</v>
      </c>
      <c r="K245" t="s">
        <v>40</v>
      </c>
    </row>
    <row r="246" spans="1:11" x14ac:dyDescent="0.3">
      <c r="A246" t="s">
        <v>277</v>
      </c>
      <c r="B246" s="1">
        <v>43304</v>
      </c>
      <c r="C246" t="s">
        <v>16</v>
      </c>
      <c r="D246" t="s">
        <v>25</v>
      </c>
      <c r="E246">
        <v>12</v>
      </c>
      <c r="F246">
        <v>40</v>
      </c>
      <c r="G246">
        <v>480</v>
      </c>
      <c r="H246">
        <v>0.02</v>
      </c>
      <c r="I246">
        <v>9.6</v>
      </c>
      <c r="J246">
        <v>470</v>
      </c>
      <c r="K246" t="s">
        <v>42</v>
      </c>
    </row>
    <row r="247" spans="1:11" x14ac:dyDescent="0.3">
      <c r="A247" t="s">
        <v>278</v>
      </c>
      <c r="B247" s="1">
        <v>43304</v>
      </c>
      <c r="C247" t="s">
        <v>35</v>
      </c>
      <c r="D247" t="s">
        <v>32</v>
      </c>
      <c r="E247">
        <v>7</v>
      </c>
      <c r="F247">
        <v>150</v>
      </c>
      <c r="G247">
        <v>1050</v>
      </c>
      <c r="H247">
        <v>0.02</v>
      </c>
      <c r="I247">
        <v>21</v>
      </c>
      <c r="J247">
        <v>1029</v>
      </c>
      <c r="K247" t="s">
        <v>44</v>
      </c>
    </row>
    <row r="248" spans="1:11" x14ac:dyDescent="0.3">
      <c r="A248" t="s">
        <v>279</v>
      </c>
      <c r="B248" s="1">
        <v>43304</v>
      </c>
      <c r="C248" t="s">
        <v>12</v>
      </c>
      <c r="D248" t="s">
        <v>25</v>
      </c>
      <c r="E248">
        <v>14</v>
      </c>
      <c r="F248">
        <v>80</v>
      </c>
      <c r="G248">
        <v>1120</v>
      </c>
      <c r="H248">
        <v>0.1</v>
      </c>
      <c r="I248">
        <v>112</v>
      </c>
      <c r="J248">
        <v>1008</v>
      </c>
      <c r="K248" t="s">
        <v>14</v>
      </c>
    </row>
    <row r="249" spans="1:11" x14ac:dyDescent="0.3">
      <c r="A249" t="s">
        <v>280</v>
      </c>
      <c r="B249" s="1">
        <v>43304</v>
      </c>
      <c r="C249" t="s">
        <v>20</v>
      </c>
      <c r="D249" t="s">
        <v>25</v>
      </c>
      <c r="E249">
        <v>12</v>
      </c>
      <c r="F249">
        <v>230</v>
      </c>
      <c r="G249">
        <v>2760</v>
      </c>
      <c r="H249">
        <v>0.06</v>
      </c>
      <c r="I249">
        <v>165.6</v>
      </c>
      <c r="J249">
        <v>2594</v>
      </c>
      <c r="K249" t="s">
        <v>18</v>
      </c>
    </row>
    <row r="250" spans="1:11" x14ac:dyDescent="0.3">
      <c r="A250" t="s">
        <v>281</v>
      </c>
      <c r="B250" s="1">
        <v>43305</v>
      </c>
      <c r="C250" t="s">
        <v>12</v>
      </c>
      <c r="D250" t="s">
        <v>17</v>
      </c>
      <c r="E250">
        <v>21</v>
      </c>
      <c r="F250">
        <v>80</v>
      </c>
      <c r="G250">
        <v>1680</v>
      </c>
      <c r="H250">
        <v>0.04</v>
      </c>
      <c r="I250">
        <v>67.2</v>
      </c>
      <c r="J250">
        <v>1613</v>
      </c>
      <c r="K250" t="s">
        <v>21</v>
      </c>
    </row>
    <row r="251" spans="1:11" x14ac:dyDescent="0.3">
      <c r="A251" t="s">
        <v>282</v>
      </c>
      <c r="B251" s="1">
        <v>43305</v>
      </c>
      <c r="C251" t="s">
        <v>35</v>
      </c>
      <c r="D251" t="s">
        <v>13</v>
      </c>
      <c r="E251">
        <v>8</v>
      </c>
      <c r="F251">
        <v>150</v>
      </c>
      <c r="G251">
        <v>1200</v>
      </c>
      <c r="H251">
        <v>0.09</v>
      </c>
      <c r="I251">
        <v>108</v>
      </c>
      <c r="J251">
        <v>1092</v>
      </c>
      <c r="K251" t="s">
        <v>23</v>
      </c>
    </row>
    <row r="252" spans="1:11" x14ac:dyDescent="0.3">
      <c r="A252" t="s">
        <v>283</v>
      </c>
      <c r="B252" s="1">
        <v>43305</v>
      </c>
      <c r="C252" t="s">
        <v>12</v>
      </c>
      <c r="D252" t="s">
        <v>17</v>
      </c>
      <c r="E252">
        <v>16</v>
      </c>
      <c r="F252">
        <v>80</v>
      </c>
      <c r="G252">
        <v>1280</v>
      </c>
      <c r="H252">
        <v>0.04</v>
      </c>
      <c r="I252">
        <v>51.2</v>
      </c>
      <c r="J252">
        <v>1229</v>
      </c>
      <c r="K252" t="s">
        <v>26</v>
      </c>
    </row>
    <row r="253" spans="1:11" x14ac:dyDescent="0.3">
      <c r="A253" t="s">
        <v>284</v>
      </c>
      <c r="B253" s="1">
        <v>43305</v>
      </c>
      <c r="C253" t="s">
        <v>20</v>
      </c>
      <c r="D253" t="s">
        <v>17</v>
      </c>
      <c r="E253">
        <v>14</v>
      </c>
      <c r="F253">
        <v>230</v>
      </c>
      <c r="G253">
        <v>3220</v>
      </c>
      <c r="H253">
        <v>0.05</v>
      </c>
      <c r="I253">
        <v>161</v>
      </c>
      <c r="J253">
        <v>3059</v>
      </c>
      <c r="K253" t="s">
        <v>29</v>
      </c>
    </row>
    <row r="254" spans="1:11" x14ac:dyDescent="0.3">
      <c r="A254" t="s">
        <v>285</v>
      </c>
      <c r="B254" s="1">
        <v>43305</v>
      </c>
      <c r="C254" t="s">
        <v>16</v>
      </c>
      <c r="D254" t="s">
        <v>25</v>
      </c>
      <c r="E254">
        <v>2</v>
      </c>
      <c r="F254">
        <v>40</v>
      </c>
      <c r="G254">
        <v>80</v>
      </c>
      <c r="H254">
        <v>0.03</v>
      </c>
      <c r="I254">
        <v>2.4</v>
      </c>
      <c r="J254">
        <v>78</v>
      </c>
      <c r="K254" t="s">
        <v>33</v>
      </c>
    </row>
    <row r="255" spans="1:11" x14ac:dyDescent="0.3">
      <c r="A255" t="s">
        <v>286</v>
      </c>
      <c r="B255" s="1">
        <v>43305</v>
      </c>
      <c r="C255" t="s">
        <v>35</v>
      </c>
      <c r="D255" t="s">
        <v>13</v>
      </c>
      <c r="E255">
        <v>4</v>
      </c>
      <c r="F255">
        <v>150</v>
      </c>
      <c r="G255">
        <v>600</v>
      </c>
      <c r="H255">
        <v>0.1</v>
      </c>
      <c r="I255">
        <v>60</v>
      </c>
      <c r="J255">
        <v>540</v>
      </c>
      <c r="K255" t="s">
        <v>36</v>
      </c>
    </row>
    <row r="256" spans="1:11" x14ac:dyDescent="0.3">
      <c r="A256" t="s">
        <v>287</v>
      </c>
      <c r="B256" s="1">
        <v>43305</v>
      </c>
      <c r="C256" t="s">
        <v>12</v>
      </c>
      <c r="D256" t="s">
        <v>25</v>
      </c>
      <c r="E256">
        <v>6</v>
      </c>
      <c r="F256">
        <v>80</v>
      </c>
      <c r="G256">
        <v>480</v>
      </c>
      <c r="H256">
        <v>0.01</v>
      </c>
      <c r="I256">
        <v>4.8</v>
      </c>
      <c r="J256">
        <v>475</v>
      </c>
      <c r="K256" t="s">
        <v>38</v>
      </c>
    </row>
    <row r="257" spans="1:11" x14ac:dyDescent="0.3">
      <c r="A257" t="s">
        <v>288</v>
      </c>
      <c r="B257" s="1">
        <v>43305</v>
      </c>
      <c r="C257" t="s">
        <v>16</v>
      </c>
      <c r="D257" t="s">
        <v>25</v>
      </c>
      <c r="E257">
        <v>6</v>
      </c>
      <c r="F257">
        <v>40</v>
      </c>
      <c r="G257">
        <v>240</v>
      </c>
      <c r="H257">
        <v>0.06</v>
      </c>
      <c r="I257">
        <v>14.399999999999999</v>
      </c>
      <c r="J257">
        <v>226</v>
      </c>
      <c r="K257" t="s">
        <v>40</v>
      </c>
    </row>
    <row r="258" spans="1:11" x14ac:dyDescent="0.3">
      <c r="A258" t="s">
        <v>289</v>
      </c>
      <c r="B258" s="1">
        <v>43305</v>
      </c>
      <c r="C258" t="s">
        <v>35</v>
      </c>
      <c r="D258" t="s">
        <v>13</v>
      </c>
      <c r="E258">
        <v>20</v>
      </c>
      <c r="F258">
        <v>150</v>
      </c>
      <c r="G258">
        <v>3000</v>
      </c>
      <c r="H258">
        <v>0.04</v>
      </c>
      <c r="I258">
        <v>120</v>
      </c>
      <c r="J258">
        <v>2880</v>
      </c>
      <c r="K258" t="s">
        <v>42</v>
      </c>
    </row>
    <row r="259" spans="1:11" x14ac:dyDescent="0.3">
      <c r="A259" t="s">
        <v>290</v>
      </c>
      <c r="B259" s="1">
        <v>43305</v>
      </c>
      <c r="C259" t="s">
        <v>16</v>
      </c>
      <c r="D259" t="s">
        <v>25</v>
      </c>
      <c r="E259">
        <v>18</v>
      </c>
      <c r="F259">
        <v>40</v>
      </c>
      <c r="G259">
        <v>720</v>
      </c>
      <c r="H259">
        <v>0.03</v>
      </c>
      <c r="I259">
        <v>21.599999999999998</v>
      </c>
      <c r="J259">
        <v>698</v>
      </c>
      <c r="K259" t="s">
        <v>44</v>
      </c>
    </row>
    <row r="260" spans="1:11" x14ac:dyDescent="0.3">
      <c r="A260" t="s">
        <v>291</v>
      </c>
      <c r="B260" s="1">
        <v>43305</v>
      </c>
      <c r="C260" t="s">
        <v>20</v>
      </c>
      <c r="D260" t="s">
        <v>28</v>
      </c>
      <c r="E260">
        <v>18</v>
      </c>
      <c r="F260">
        <v>230</v>
      </c>
      <c r="G260">
        <v>4140</v>
      </c>
      <c r="H260">
        <v>0.01</v>
      </c>
      <c r="I260">
        <v>41.4</v>
      </c>
      <c r="J260">
        <v>4099</v>
      </c>
      <c r="K260" t="s">
        <v>14</v>
      </c>
    </row>
    <row r="261" spans="1:11" x14ac:dyDescent="0.3">
      <c r="A261" t="s">
        <v>292</v>
      </c>
      <c r="B261" s="1">
        <v>43305</v>
      </c>
      <c r="C261" t="s">
        <v>20</v>
      </c>
      <c r="D261" t="s">
        <v>25</v>
      </c>
      <c r="E261">
        <v>15</v>
      </c>
      <c r="F261">
        <v>230</v>
      </c>
      <c r="G261">
        <v>3450</v>
      </c>
      <c r="H261">
        <v>0.04</v>
      </c>
      <c r="I261">
        <v>138</v>
      </c>
      <c r="J261">
        <v>3312</v>
      </c>
      <c r="K261" t="s">
        <v>18</v>
      </c>
    </row>
    <row r="262" spans="1:11" x14ac:dyDescent="0.3">
      <c r="A262" t="s">
        <v>293</v>
      </c>
      <c r="B262" s="1">
        <v>43305</v>
      </c>
      <c r="C262" t="s">
        <v>31</v>
      </c>
      <c r="D262" t="s">
        <v>17</v>
      </c>
      <c r="E262">
        <v>22</v>
      </c>
      <c r="F262">
        <v>16</v>
      </c>
      <c r="G262">
        <v>352</v>
      </c>
      <c r="H262">
        <v>0.01</v>
      </c>
      <c r="I262">
        <v>3.52</v>
      </c>
      <c r="J262">
        <v>348</v>
      </c>
      <c r="K262" t="s">
        <v>21</v>
      </c>
    </row>
    <row r="263" spans="1:11" x14ac:dyDescent="0.3">
      <c r="A263" t="s">
        <v>294</v>
      </c>
      <c r="B263" s="1">
        <v>43305</v>
      </c>
      <c r="C263" t="s">
        <v>35</v>
      </c>
      <c r="D263" t="s">
        <v>13</v>
      </c>
      <c r="E263">
        <v>17</v>
      </c>
      <c r="F263">
        <v>150</v>
      </c>
      <c r="G263">
        <v>2550</v>
      </c>
      <c r="H263">
        <v>0.12</v>
      </c>
      <c r="I263">
        <v>306</v>
      </c>
      <c r="J263">
        <v>2244</v>
      </c>
      <c r="K263" t="s">
        <v>23</v>
      </c>
    </row>
    <row r="264" spans="1:11" x14ac:dyDescent="0.3">
      <c r="A264" t="s">
        <v>295</v>
      </c>
      <c r="B264" s="1">
        <v>43306</v>
      </c>
      <c r="C264" t="s">
        <v>31</v>
      </c>
      <c r="D264" t="s">
        <v>17</v>
      </c>
      <c r="E264">
        <v>5</v>
      </c>
      <c r="F264">
        <v>16</v>
      </c>
      <c r="G264">
        <v>80</v>
      </c>
      <c r="H264">
        <v>0.11</v>
      </c>
      <c r="I264">
        <v>8.8000000000000007</v>
      </c>
      <c r="J264">
        <v>71</v>
      </c>
      <c r="K264" t="s">
        <v>26</v>
      </c>
    </row>
    <row r="265" spans="1:11" x14ac:dyDescent="0.3">
      <c r="A265" t="s">
        <v>296</v>
      </c>
      <c r="B265" s="1">
        <v>43306</v>
      </c>
      <c r="C265" t="s">
        <v>35</v>
      </c>
      <c r="D265" t="s">
        <v>13</v>
      </c>
      <c r="E265">
        <v>23</v>
      </c>
      <c r="F265">
        <v>150</v>
      </c>
      <c r="G265">
        <v>3450</v>
      </c>
      <c r="H265">
        <v>0.1</v>
      </c>
      <c r="I265">
        <v>345</v>
      </c>
      <c r="J265">
        <v>3105</v>
      </c>
      <c r="K265" t="s">
        <v>29</v>
      </c>
    </row>
    <row r="266" spans="1:11" x14ac:dyDescent="0.3">
      <c r="A266" t="s">
        <v>297</v>
      </c>
      <c r="B266" s="1">
        <v>43306</v>
      </c>
      <c r="C266" t="s">
        <v>35</v>
      </c>
      <c r="D266" t="s">
        <v>28</v>
      </c>
      <c r="E266">
        <v>22</v>
      </c>
      <c r="F266">
        <v>150</v>
      </c>
      <c r="G266">
        <v>3300</v>
      </c>
      <c r="H266">
        <v>0.05</v>
      </c>
      <c r="I266">
        <v>165</v>
      </c>
      <c r="J266">
        <v>3135</v>
      </c>
      <c r="K266" t="s">
        <v>33</v>
      </c>
    </row>
    <row r="267" spans="1:11" x14ac:dyDescent="0.3">
      <c r="A267" t="s">
        <v>298</v>
      </c>
      <c r="B267" s="1">
        <v>43306</v>
      </c>
      <c r="C267" t="s">
        <v>31</v>
      </c>
      <c r="D267" t="s">
        <v>32</v>
      </c>
      <c r="E267">
        <v>15</v>
      </c>
      <c r="F267">
        <v>16</v>
      </c>
      <c r="G267">
        <v>240</v>
      </c>
      <c r="H267">
        <v>0.01</v>
      </c>
      <c r="I267">
        <v>2.4</v>
      </c>
      <c r="J267">
        <v>238</v>
      </c>
      <c r="K267" t="s">
        <v>36</v>
      </c>
    </row>
    <row r="268" spans="1:11" x14ac:dyDescent="0.3">
      <c r="A268" t="s">
        <v>299</v>
      </c>
      <c r="B268" s="1">
        <v>43306</v>
      </c>
      <c r="C268" t="s">
        <v>16</v>
      </c>
      <c r="D268" t="s">
        <v>28</v>
      </c>
      <c r="E268">
        <v>7</v>
      </c>
      <c r="F268">
        <v>40</v>
      </c>
      <c r="G268">
        <v>280</v>
      </c>
      <c r="H268">
        <v>7.0000000000000007E-2</v>
      </c>
      <c r="I268">
        <v>19.600000000000001</v>
      </c>
      <c r="J268">
        <v>260</v>
      </c>
      <c r="K268" t="s">
        <v>38</v>
      </c>
    </row>
    <row r="269" spans="1:11" x14ac:dyDescent="0.3">
      <c r="A269" t="s">
        <v>300</v>
      </c>
      <c r="B269" s="1">
        <v>43306</v>
      </c>
      <c r="C269" t="s">
        <v>12</v>
      </c>
      <c r="D269" t="s">
        <v>32</v>
      </c>
      <c r="E269">
        <v>22</v>
      </c>
      <c r="F269">
        <v>80</v>
      </c>
      <c r="G269">
        <v>1760</v>
      </c>
      <c r="H269">
        <v>0.11</v>
      </c>
      <c r="I269">
        <v>193.6</v>
      </c>
      <c r="J269">
        <v>1566</v>
      </c>
      <c r="K269" t="s">
        <v>40</v>
      </c>
    </row>
    <row r="270" spans="1:11" x14ac:dyDescent="0.3">
      <c r="A270" t="s">
        <v>301</v>
      </c>
      <c r="B270" s="1">
        <v>43306</v>
      </c>
      <c r="C270" t="s">
        <v>35</v>
      </c>
      <c r="D270" t="s">
        <v>25</v>
      </c>
      <c r="E270">
        <v>11</v>
      </c>
      <c r="F270">
        <v>150</v>
      </c>
      <c r="G270">
        <v>1650</v>
      </c>
      <c r="H270">
        <v>0.05</v>
      </c>
      <c r="I270">
        <v>82.5</v>
      </c>
      <c r="J270">
        <v>1568</v>
      </c>
      <c r="K270" t="s">
        <v>42</v>
      </c>
    </row>
    <row r="271" spans="1:11" x14ac:dyDescent="0.3">
      <c r="A271" t="s">
        <v>302</v>
      </c>
      <c r="B271" s="1">
        <v>43306</v>
      </c>
      <c r="C271" t="s">
        <v>16</v>
      </c>
      <c r="D271" t="s">
        <v>17</v>
      </c>
      <c r="E271">
        <v>21</v>
      </c>
      <c r="F271">
        <v>40</v>
      </c>
      <c r="G271">
        <v>840</v>
      </c>
      <c r="H271">
        <v>0.03</v>
      </c>
      <c r="I271">
        <v>25.2</v>
      </c>
      <c r="J271">
        <v>815</v>
      </c>
      <c r="K271" t="s">
        <v>44</v>
      </c>
    </row>
    <row r="272" spans="1:11" x14ac:dyDescent="0.3">
      <c r="A272" t="s">
        <v>303</v>
      </c>
      <c r="B272" s="1">
        <v>43306</v>
      </c>
      <c r="C272" t="s">
        <v>12</v>
      </c>
      <c r="D272" t="s">
        <v>28</v>
      </c>
      <c r="E272">
        <v>23</v>
      </c>
      <c r="F272">
        <v>80</v>
      </c>
      <c r="G272">
        <v>1840</v>
      </c>
      <c r="H272">
        <v>0.11</v>
      </c>
      <c r="I272">
        <v>202.4</v>
      </c>
      <c r="J272">
        <v>1638</v>
      </c>
      <c r="K272" t="s">
        <v>14</v>
      </c>
    </row>
    <row r="273" spans="1:11" x14ac:dyDescent="0.3">
      <c r="A273" t="s">
        <v>304</v>
      </c>
      <c r="B273" s="1">
        <v>43306</v>
      </c>
      <c r="C273" t="s">
        <v>20</v>
      </c>
      <c r="D273" t="s">
        <v>25</v>
      </c>
      <c r="E273">
        <v>7</v>
      </c>
      <c r="F273">
        <v>230</v>
      </c>
      <c r="G273">
        <v>1610</v>
      </c>
      <c r="H273">
        <v>0.01</v>
      </c>
      <c r="I273">
        <v>16.100000000000001</v>
      </c>
      <c r="J273">
        <v>1594</v>
      </c>
      <c r="K273" t="s">
        <v>18</v>
      </c>
    </row>
    <row r="274" spans="1:11" x14ac:dyDescent="0.3">
      <c r="A274" t="s">
        <v>305</v>
      </c>
      <c r="B274" s="1">
        <v>43306</v>
      </c>
      <c r="C274" t="s">
        <v>20</v>
      </c>
      <c r="D274" t="s">
        <v>13</v>
      </c>
      <c r="E274">
        <v>16</v>
      </c>
      <c r="F274">
        <v>230</v>
      </c>
      <c r="G274">
        <v>3680</v>
      </c>
      <c r="H274">
        <v>7.0000000000000007E-2</v>
      </c>
      <c r="I274">
        <v>257.60000000000002</v>
      </c>
      <c r="J274">
        <v>3422</v>
      </c>
      <c r="K274" t="s">
        <v>21</v>
      </c>
    </row>
    <row r="275" spans="1:11" x14ac:dyDescent="0.3">
      <c r="A275" t="s">
        <v>306</v>
      </c>
      <c r="B275" s="1">
        <v>43306</v>
      </c>
      <c r="C275" t="s">
        <v>12</v>
      </c>
      <c r="D275" t="s">
        <v>17</v>
      </c>
      <c r="E275">
        <v>14</v>
      </c>
      <c r="F275">
        <v>80</v>
      </c>
      <c r="G275">
        <v>1120</v>
      </c>
      <c r="H275">
        <v>0.11</v>
      </c>
      <c r="I275">
        <v>123.2</v>
      </c>
      <c r="J275">
        <v>997</v>
      </c>
      <c r="K275" t="s">
        <v>23</v>
      </c>
    </row>
    <row r="276" spans="1:11" x14ac:dyDescent="0.3">
      <c r="A276" t="s">
        <v>307</v>
      </c>
      <c r="B276" s="1">
        <v>43306</v>
      </c>
      <c r="C276" t="s">
        <v>35</v>
      </c>
      <c r="D276" t="s">
        <v>25</v>
      </c>
      <c r="E276">
        <v>22</v>
      </c>
      <c r="F276">
        <v>150</v>
      </c>
      <c r="G276">
        <v>3300</v>
      </c>
      <c r="H276">
        <v>0.09</v>
      </c>
      <c r="I276">
        <v>297</v>
      </c>
      <c r="J276">
        <v>3003</v>
      </c>
      <c r="K276" t="s">
        <v>26</v>
      </c>
    </row>
    <row r="277" spans="1:11" x14ac:dyDescent="0.3">
      <c r="A277" t="s">
        <v>308</v>
      </c>
      <c r="B277" s="1">
        <v>43306</v>
      </c>
      <c r="C277" t="s">
        <v>35</v>
      </c>
      <c r="D277" t="s">
        <v>28</v>
      </c>
      <c r="E277">
        <v>4</v>
      </c>
      <c r="F277">
        <v>150</v>
      </c>
      <c r="G277">
        <v>600</v>
      </c>
      <c r="H277">
        <v>0.12</v>
      </c>
      <c r="I277">
        <v>72</v>
      </c>
      <c r="J277">
        <v>528</v>
      </c>
      <c r="K277" t="s">
        <v>29</v>
      </c>
    </row>
    <row r="278" spans="1:11" x14ac:dyDescent="0.3">
      <c r="A278" t="s">
        <v>309</v>
      </c>
      <c r="B278" s="1">
        <v>43306</v>
      </c>
      <c r="C278" t="s">
        <v>35</v>
      </c>
      <c r="D278" t="s">
        <v>13</v>
      </c>
      <c r="E278">
        <v>3</v>
      </c>
      <c r="F278">
        <v>150</v>
      </c>
      <c r="G278">
        <v>450</v>
      </c>
      <c r="H278">
        <v>0.03</v>
      </c>
      <c r="I278">
        <v>13.5</v>
      </c>
      <c r="J278">
        <v>436</v>
      </c>
      <c r="K278" t="s">
        <v>33</v>
      </c>
    </row>
    <row r="279" spans="1:11" x14ac:dyDescent="0.3">
      <c r="A279" t="s">
        <v>310</v>
      </c>
      <c r="B279" s="1">
        <v>43306</v>
      </c>
      <c r="C279" t="s">
        <v>16</v>
      </c>
      <c r="D279" t="s">
        <v>32</v>
      </c>
      <c r="E279">
        <v>17</v>
      </c>
      <c r="F279">
        <v>40</v>
      </c>
      <c r="G279">
        <v>680</v>
      </c>
      <c r="H279">
        <v>0.02</v>
      </c>
      <c r="I279">
        <v>13.6</v>
      </c>
      <c r="J279">
        <v>666</v>
      </c>
      <c r="K279" t="s">
        <v>36</v>
      </c>
    </row>
    <row r="280" spans="1:11" x14ac:dyDescent="0.3">
      <c r="A280" t="s">
        <v>311</v>
      </c>
      <c r="B280" s="1">
        <v>43306</v>
      </c>
      <c r="C280" t="s">
        <v>12</v>
      </c>
      <c r="D280" t="s">
        <v>32</v>
      </c>
      <c r="E280">
        <v>22</v>
      </c>
      <c r="F280">
        <v>80</v>
      </c>
      <c r="G280">
        <v>1760</v>
      </c>
      <c r="H280">
        <v>0.1</v>
      </c>
      <c r="I280">
        <v>176</v>
      </c>
      <c r="J280">
        <v>1584</v>
      </c>
      <c r="K280" t="s">
        <v>38</v>
      </c>
    </row>
    <row r="281" spans="1:11" x14ac:dyDescent="0.3">
      <c r="A281" t="s">
        <v>312</v>
      </c>
      <c r="B281" s="1">
        <v>43306</v>
      </c>
      <c r="C281" t="s">
        <v>35</v>
      </c>
      <c r="D281" t="s">
        <v>32</v>
      </c>
      <c r="E281">
        <v>18</v>
      </c>
      <c r="F281">
        <v>150</v>
      </c>
      <c r="G281">
        <v>2700</v>
      </c>
      <c r="H281">
        <v>0.12</v>
      </c>
      <c r="I281">
        <v>324</v>
      </c>
      <c r="J281">
        <v>2376</v>
      </c>
      <c r="K281" t="s">
        <v>40</v>
      </c>
    </row>
    <row r="282" spans="1:11" x14ac:dyDescent="0.3">
      <c r="A282" t="s">
        <v>313</v>
      </c>
      <c r="B282" s="1">
        <v>43307</v>
      </c>
      <c r="C282" t="s">
        <v>35</v>
      </c>
      <c r="D282" t="s">
        <v>13</v>
      </c>
      <c r="E282">
        <v>4</v>
      </c>
      <c r="F282">
        <v>150</v>
      </c>
      <c r="G282">
        <v>600</v>
      </c>
      <c r="H282">
        <v>0.06</v>
      </c>
      <c r="I282">
        <v>36</v>
      </c>
      <c r="J282">
        <v>564</v>
      </c>
      <c r="K282" t="s">
        <v>14</v>
      </c>
    </row>
    <row r="283" spans="1:11" x14ac:dyDescent="0.3">
      <c r="A283" t="s">
        <v>314</v>
      </c>
      <c r="B283" s="1">
        <v>43307</v>
      </c>
      <c r="C283" t="s">
        <v>20</v>
      </c>
      <c r="D283" t="s">
        <v>17</v>
      </c>
      <c r="E283">
        <v>22</v>
      </c>
      <c r="F283">
        <v>230</v>
      </c>
      <c r="G283">
        <v>5060</v>
      </c>
      <c r="H283">
        <v>0.04</v>
      </c>
      <c r="I283">
        <v>202.4</v>
      </c>
      <c r="J283">
        <v>4858</v>
      </c>
      <c r="K283" t="s">
        <v>18</v>
      </c>
    </row>
    <row r="284" spans="1:11" x14ac:dyDescent="0.3">
      <c r="A284" t="s">
        <v>315</v>
      </c>
      <c r="B284" s="1">
        <v>43307</v>
      </c>
      <c r="C284" t="s">
        <v>35</v>
      </c>
      <c r="D284" t="s">
        <v>17</v>
      </c>
      <c r="E284">
        <v>15</v>
      </c>
      <c r="F284">
        <v>150</v>
      </c>
      <c r="G284">
        <v>2250</v>
      </c>
      <c r="H284">
        <v>0.12</v>
      </c>
      <c r="I284">
        <v>270</v>
      </c>
      <c r="J284">
        <v>1980</v>
      </c>
      <c r="K284" t="s">
        <v>21</v>
      </c>
    </row>
    <row r="285" spans="1:11" x14ac:dyDescent="0.3">
      <c r="A285" t="s">
        <v>316</v>
      </c>
      <c r="B285" s="1">
        <v>43307</v>
      </c>
      <c r="C285" t="s">
        <v>12</v>
      </c>
      <c r="D285" t="s">
        <v>13</v>
      </c>
      <c r="E285">
        <v>17</v>
      </c>
      <c r="F285">
        <v>80</v>
      </c>
      <c r="G285">
        <v>1360</v>
      </c>
      <c r="H285">
        <v>7.0000000000000007E-2</v>
      </c>
      <c r="I285">
        <v>95.2</v>
      </c>
      <c r="J285">
        <v>1265</v>
      </c>
      <c r="K285" t="s">
        <v>23</v>
      </c>
    </row>
    <row r="286" spans="1:11" x14ac:dyDescent="0.3">
      <c r="A286" t="s">
        <v>317</v>
      </c>
      <c r="B286" s="1">
        <v>43307</v>
      </c>
      <c r="C286" t="s">
        <v>16</v>
      </c>
      <c r="D286" t="s">
        <v>32</v>
      </c>
      <c r="E286">
        <v>10</v>
      </c>
      <c r="F286">
        <v>40</v>
      </c>
      <c r="G286">
        <v>400</v>
      </c>
      <c r="H286">
        <v>0.03</v>
      </c>
      <c r="I286">
        <v>12</v>
      </c>
      <c r="J286">
        <v>388</v>
      </c>
      <c r="K286" t="s">
        <v>26</v>
      </c>
    </row>
    <row r="287" spans="1:11" x14ac:dyDescent="0.3">
      <c r="A287" t="s">
        <v>318</v>
      </c>
      <c r="B287" s="1">
        <v>43307</v>
      </c>
      <c r="C287" t="s">
        <v>16</v>
      </c>
      <c r="D287" t="s">
        <v>13</v>
      </c>
      <c r="E287">
        <v>23</v>
      </c>
      <c r="F287">
        <v>40</v>
      </c>
      <c r="G287">
        <v>920</v>
      </c>
      <c r="H287">
        <v>7.0000000000000007E-2</v>
      </c>
      <c r="I287">
        <v>64.400000000000006</v>
      </c>
      <c r="J287">
        <v>856</v>
      </c>
      <c r="K287" t="s">
        <v>29</v>
      </c>
    </row>
    <row r="288" spans="1:11" x14ac:dyDescent="0.3">
      <c r="A288" t="s">
        <v>319</v>
      </c>
      <c r="B288" s="1">
        <v>43307</v>
      </c>
      <c r="C288" t="s">
        <v>31</v>
      </c>
      <c r="D288" t="s">
        <v>17</v>
      </c>
      <c r="E288">
        <v>22</v>
      </c>
      <c r="F288">
        <v>16</v>
      </c>
      <c r="G288">
        <v>352</v>
      </c>
      <c r="H288">
        <v>0.04</v>
      </c>
      <c r="I288">
        <v>14.08</v>
      </c>
      <c r="J288">
        <v>338</v>
      </c>
      <c r="K288" t="s">
        <v>33</v>
      </c>
    </row>
    <row r="289" spans="1:11" x14ac:dyDescent="0.3">
      <c r="A289" t="s">
        <v>320</v>
      </c>
      <c r="B289" s="1">
        <v>43307</v>
      </c>
      <c r="C289" t="s">
        <v>12</v>
      </c>
      <c r="D289" t="s">
        <v>25</v>
      </c>
      <c r="E289">
        <v>8</v>
      </c>
      <c r="F289">
        <v>80</v>
      </c>
      <c r="G289">
        <v>640</v>
      </c>
      <c r="H289">
        <v>0.02</v>
      </c>
      <c r="I289">
        <v>12.8</v>
      </c>
      <c r="J289">
        <v>627</v>
      </c>
      <c r="K289" t="s">
        <v>36</v>
      </c>
    </row>
    <row r="290" spans="1:11" x14ac:dyDescent="0.3">
      <c r="A290" t="s">
        <v>321</v>
      </c>
      <c r="B290" s="1">
        <v>43307</v>
      </c>
      <c r="C290" t="s">
        <v>31</v>
      </c>
      <c r="D290" t="s">
        <v>17</v>
      </c>
      <c r="E290">
        <v>4</v>
      </c>
      <c r="F290">
        <v>16</v>
      </c>
      <c r="G290">
        <v>64</v>
      </c>
      <c r="H290">
        <v>0.09</v>
      </c>
      <c r="I290">
        <v>5.76</v>
      </c>
      <c r="J290">
        <v>58</v>
      </c>
      <c r="K290" t="s">
        <v>38</v>
      </c>
    </row>
    <row r="291" spans="1:11" x14ac:dyDescent="0.3">
      <c r="A291" t="s">
        <v>322</v>
      </c>
      <c r="B291" s="1">
        <v>43307</v>
      </c>
      <c r="C291" t="s">
        <v>16</v>
      </c>
      <c r="D291" t="s">
        <v>28</v>
      </c>
      <c r="E291">
        <v>11</v>
      </c>
      <c r="F291">
        <v>40</v>
      </c>
      <c r="G291">
        <v>440</v>
      </c>
      <c r="H291">
        <v>0.09</v>
      </c>
      <c r="I291">
        <v>39.6</v>
      </c>
      <c r="J291">
        <v>400</v>
      </c>
      <c r="K291" t="s">
        <v>40</v>
      </c>
    </row>
    <row r="292" spans="1:11" x14ac:dyDescent="0.3">
      <c r="A292" t="s">
        <v>323</v>
      </c>
      <c r="B292" s="1">
        <v>43307</v>
      </c>
      <c r="C292" t="s">
        <v>20</v>
      </c>
      <c r="D292" t="s">
        <v>25</v>
      </c>
      <c r="E292">
        <v>18</v>
      </c>
      <c r="F292">
        <v>230</v>
      </c>
      <c r="G292">
        <v>4140</v>
      </c>
      <c r="H292">
        <v>0.01</v>
      </c>
      <c r="I292">
        <v>41.4</v>
      </c>
      <c r="J292">
        <v>4099</v>
      </c>
      <c r="K292" t="s">
        <v>42</v>
      </c>
    </row>
    <row r="293" spans="1:11" x14ac:dyDescent="0.3">
      <c r="A293" t="s">
        <v>324</v>
      </c>
      <c r="B293" s="1">
        <v>43308</v>
      </c>
      <c r="C293" t="s">
        <v>20</v>
      </c>
      <c r="D293" t="s">
        <v>17</v>
      </c>
      <c r="E293">
        <v>11</v>
      </c>
      <c r="F293">
        <v>230</v>
      </c>
      <c r="G293">
        <v>2530</v>
      </c>
      <c r="H293">
        <v>0.1</v>
      </c>
      <c r="I293">
        <v>253</v>
      </c>
      <c r="J293">
        <v>2277</v>
      </c>
      <c r="K293" t="s">
        <v>44</v>
      </c>
    </row>
    <row r="294" spans="1:11" x14ac:dyDescent="0.3">
      <c r="A294" t="s">
        <v>325</v>
      </c>
      <c r="B294" s="1">
        <v>43308</v>
      </c>
      <c r="C294" t="s">
        <v>20</v>
      </c>
      <c r="D294" t="s">
        <v>13</v>
      </c>
      <c r="E294">
        <v>15</v>
      </c>
      <c r="F294">
        <v>230</v>
      </c>
      <c r="G294">
        <v>3450</v>
      </c>
      <c r="H294">
        <v>0.05</v>
      </c>
      <c r="I294">
        <v>172.5</v>
      </c>
      <c r="J294">
        <v>3278</v>
      </c>
      <c r="K294" t="s">
        <v>14</v>
      </c>
    </row>
    <row r="295" spans="1:11" x14ac:dyDescent="0.3">
      <c r="A295" t="s">
        <v>326</v>
      </c>
      <c r="B295" s="1">
        <v>43308</v>
      </c>
      <c r="C295" t="s">
        <v>16</v>
      </c>
      <c r="D295" t="s">
        <v>32</v>
      </c>
      <c r="E295">
        <v>7</v>
      </c>
      <c r="F295">
        <v>40</v>
      </c>
      <c r="G295">
        <v>280</v>
      </c>
      <c r="H295">
        <v>0.04</v>
      </c>
      <c r="I295">
        <v>11.200000000000001</v>
      </c>
      <c r="J295">
        <v>269</v>
      </c>
      <c r="K295" t="s">
        <v>18</v>
      </c>
    </row>
    <row r="296" spans="1:11" x14ac:dyDescent="0.3">
      <c r="A296" t="s">
        <v>327</v>
      </c>
      <c r="B296" s="1">
        <v>43308</v>
      </c>
      <c r="C296" t="s">
        <v>35</v>
      </c>
      <c r="D296" t="s">
        <v>25</v>
      </c>
      <c r="E296">
        <v>20</v>
      </c>
      <c r="F296">
        <v>150</v>
      </c>
      <c r="G296">
        <v>3000</v>
      </c>
      <c r="H296">
        <v>0.12</v>
      </c>
      <c r="I296">
        <v>360</v>
      </c>
      <c r="J296">
        <v>2640</v>
      </c>
      <c r="K296" t="s">
        <v>21</v>
      </c>
    </row>
    <row r="297" spans="1:11" x14ac:dyDescent="0.3">
      <c r="A297" t="s">
        <v>328</v>
      </c>
      <c r="B297" s="1">
        <v>43308</v>
      </c>
      <c r="C297" t="s">
        <v>12</v>
      </c>
      <c r="D297" t="s">
        <v>25</v>
      </c>
      <c r="E297">
        <v>5</v>
      </c>
      <c r="F297">
        <v>80</v>
      </c>
      <c r="G297">
        <v>400</v>
      </c>
      <c r="H297">
        <v>0.09</v>
      </c>
      <c r="I297">
        <v>36</v>
      </c>
      <c r="J297">
        <v>364</v>
      </c>
      <c r="K297" t="s">
        <v>23</v>
      </c>
    </row>
    <row r="298" spans="1:11" x14ac:dyDescent="0.3">
      <c r="A298" t="s">
        <v>329</v>
      </c>
      <c r="B298" s="1">
        <v>43308</v>
      </c>
      <c r="C298" t="s">
        <v>12</v>
      </c>
      <c r="D298" t="s">
        <v>28</v>
      </c>
      <c r="E298">
        <v>14</v>
      </c>
      <c r="F298">
        <v>80</v>
      </c>
      <c r="G298">
        <v>1120</v>
      </c>
      <c r="H298">
        <v>0.05</v>
      </c>
      <c r="I298">
        <v>56</v>
      </c>
      <c r="J298">
        <v>1064</v>
      </c>
      <c r="K298" t="s">
        <v>26</v>
      </c>
    </row>
    <row r="299" spans="1:11" x14ac:dyDescent="0.3">
      <c r="A299" t="s">
        <v>330</v>
      </c>
      <c r="B299" s="1">
        <v>43308</v>
      </c>
      <c r="C299" t="s">
        <v>20</v>
      </c>
      <c r="D299" t="s">
        <v>28</v>
      </c>
      <c r="E299">
        <v>7</v>
      </c>
      <c r="F299">
        <v>230</v>
      </c>
      <c r="G299">
        <v>1610</v>
      </c>
      <c r="H299">
        <v>0.06</v>
      </c>
      <c r="I299">
        <v>96.6</v>
      </c>
      <c r="J299">
        <v>1513</v>
      </c>
      <c r="K299" t="s">
        <v>29</v>
      </c>
    </row>
    <row r="300" spans="1:11" x14ac:dyDescent="0.3">
      <c r="A300" t="s">
        <v>331</v>
      </c>
      <c r="B300" s="1">
        <v>43308</v>
      </c>
      <c r="C300" t="s">
        <v>16</v>
      </c>
      <c r="D300" t="s">
        <v>28</v>
      </c>
      <c r="E300">
        <v>13</v>
      </c>
      <c r="F300">
        <v>40</v>
      </c>
      <c r="G300">
        <v>520</v>
      </c>
      <c r="H300">
        <v>0.06</v>
      </c>
      <c r="I300">
        <v>31.2</v>
      </c>
      <c r="J300">
        <v>489</v>
      </c>
      <c r="K300" t="s">
        <v>33</v>
      </c>
    </row>
    <row r="301" spans="1:11" x14ac:dyDescent="0.3">
      <c r="A301" t="s">
        <v>332</v>
      </c>
      <c r="B301" s="1">
        <v>43309</v>
      </c>
      <c r="C301" t="s">
        <v>31</v>
      </c>
      <c r="D301" t="s">
        <v>17</v>
      </c>
      <c r="E301">
        <v>15</v>
      </c>
      <c r="F301">
        <v>16</v>
      </c>
      <c r="G301">
        <v>240</v>
      </c>
      <c r="H301">
        <v>0.02</v>
      </c>
      <c r="I301">
        <v>4.8</v>
      </c>
      <c r="J301">
        <v>235</v>
      </c>
      <c r="K301" t="s">
        <v>36</v>
      </c>
    </row>
    <row r="302" spans="1:11" x14ac:dyDescent="0.3">
      <c r="A302" t="s">
        <v>333</v>
      </c>
      <c r="B302" s="1">
        <v>43309</v>
      </c>
      <c r="C302" t="s">
        <v>31</v>
      </c>
      <c r="D302" t="s">
        <v>28</v>
      </c>
      <c r="E302">
        <v>5</v>
      </c>
      <c r="F302">
        <v>16</v>
      </c>
      <c r="G302">
        <v>80</v>
      </c>
      <c r="H302">
        <v>0.09</v>
      </c>
      <c r="I302">
        <v>7.1999999999999993</v>
      </c>
      <c r="J302">
        <v>73</v>
      </c>
      <c r="K302" t="s">
        <v>38</v>
      </c>
    </row>
    <row r="303" spans="1:11" x14ac:dyDescent="0.3">
      <c r="A303" t="s">
        <v>334</v>
      </c>
      <c r="B303" s="1">
        <v>43309</v>
      </c>
      <c r="C303" t="s">
        <v>31</v>
      </c>
      <c r="D303" t="s">
        <v>13</v>
      </c>
      <c r="E303">
        <v>22</v>
      </c>
      <c r="F303">
        <v>16</v>
      </c>
      <c r="G303">
        <v>352</v>
      </c>
      <c r="H303">
        <v>0.06</v>
      </c>
      <c r="I303">
        <v>21.119999999999997</v>
      </c>
      <c r="J303">
        <v>331</v>
      </c>
      <c r="K303" t="s">
        <v>40</v>
      </c>
    </row>
    <row r="304" spans="1:11" x14ac:dyDescent="0.3">
      <c r="A304" t="s">
        <v>335</v>
      </c>
      <c r="B304" s="1">
        <v>43309</v>
      </c>
      <c r="C304" t="s">
        <v>35</v>
      </c>
      <c r="D304" t="s">
        <v>25</v>
      </c>
      <c r="E304">
        <v>15</v>
      </c>
      <c r="F304">
        <v>150</v>
      </c>
      <c r="G304">
        <v>2250</v>
      </c>
      <c r="H304">
        <v>0.05</v>
      </c>
      <c r="I304">
        <v>112.5</v>
      </c>
      <c r="J304">
        <v>2138</v>
      </c>
      <c r="K304" t="s">
        <v>42</v>
      </c>
    </row>
    <row r="305" spans="1:11" x14ac:dyDescent="0.3">
      <c r="A305" t="s">
        <v>336</v>
      </c>
      <c r="B305" s="1">
        <v>43309</v>
      </c>
      <c r="C305" t="s">
        <v>20</v>
      </c>
      <c r="D305" t="s">
        <v>25</v>
      </c>
      <c r="E305">
        <v>5</v>
      </c>
      <c r="F305">
        <v>230</v>
      </c>
      <c r="G305">
        <v>1150</v>
      </c>
      <c r="H305">
        <v>0.01</v>
      </c>
      <c r="I305">
        <v>11.5</v>
      </c>
      <c r="J305">
        <v>1138</v>
      </c>
      <c r="K305" t="s">
        <v>44</v>
      </c>
    </row>
    <row r="306" spans="1:11" x14ac:dyDescent="0.3">
      <c r="A306" t="s">
        <v>337</v>
      </c>
      <c r="B306" s="1">
        <v>43309</v>
      </c>
      <c r="C306" t="s">
        <v>16</v>
      </c>
      <c r="D306" t="s">
        <v>13</v>
      </c>
      <c r="E306">
        <v>11</v>
      </c>
      <c r="F306">
        <v>40</v>
      </c>
      <c r="G306">
        <v>440</v>
      </c>
      <c r="H306">
        <v>0.04</v>
      </c>
      <c r="I306">
        <v>17.600000000000001</v>
      </c>
      <c r="J306">
        <v>422</v>
      </c>
      <c r="K306" t="s">
        <v>14</v>
      </c>
    </row>
    <row r="307" spans="1:11" x14ac:dyDescent="0.3">
      <c r="A307" t="s">
        <v>338</v>
      </c>
      <c r="B307" s="1">
        <v>43309</v>
      </c>
      <c r="C307" t="s">
        <v>35</v>
      </c>
      <c r="D307" t="s">
        <v>17</v>
      </c>
      <c r="E307">
        <v>13</v>
      </c>
      <c r="F307">
        <v>150</v>
      </c>
      <c r="G307">
        <v>1950</v>
      </c>
      <c r="H307">
        <v>0.08</v>
      </c>
      <c r="I307">
        <v>156</v>
      </c>
      <c r="J307">
        <v>1794</v>
      </c>
      <c r="K307" t="s">
        <v>18</v>
      </c>
    </row>
    <row r="308" spans="1:11" x14ac:dyDescent="0.3">
      <c r="A308" t="s">
        <v>339</v>
      </c>
      <c r="B308" s="1">
        <v>43309</v>
      </c>
      <c r="C308" t="s">
        <v>31</v>
      </c>
      <c r="D308" t="s">
        <v>32</v>
      </c>
      <c r="E308">
        <v>13</v>
      </c>
      <c r="F308">
        <v>16</v>
      </c>
      <c r="G308">
        <v>208</v>
      </c>
      <c r="H308">
        <v>7.0000000000000007E-2</v>
      </c>
      <c r="I308">
        <v>14.560000000000002</v>
      </c>
      <c r="J308">
        <v>193</v>
      </c>
      <c r="K308" t="s">
        <v>21</v>
      </c>
    </row>
    <row r="309" spans="1:11" x14ac:dyDescent="0.3">
      <c r="A309" t="s">
        <v>340</v>
      </c>
      <c r="B309" s="1">
        <v>43309</v>
      </c>
      <c r="C309" t="s">
        <v>31</v>
      </c>
      <c r="D309" t="s">
        <v>32</v>
      </c>
      <c r="E309">
        <v>3</v>
      </c>
      <c r="F309">
        <v>16</v>
      </c>
      <c r="G309">
        <v>48</v>
      </c>
      <c r="H309">
        <v>0.03</v>
      </c>
      <c r="I309">
        <v>1.44</v>
      </c>
      <c r="J309">
        <v>47</v>
      </c>
      <c r="K309" t="s">
        <v>23</v>
      </c>
    </row>
    <row r="310" spans="1:11" x14ac:dyDescent="0.3">
      <c r="A310" t="s">
        <v>341</v>
      </c>
      <c r="B310" s="1">
        <v>43310</v>
      </c>
      <c r="C310" t="s">
        <v>35</v>
      </c>
      <c r="D310" t="s">
        <v>17</v>
      </c>
      <c r="E310">
        <v>2</v>
      </c>
      <c r="F310">
        <v>150</v>
      </c>
      <c r="G310">
        <v>300</v>
      </c>
      <c r="H310">
        <v>0.09</v>
      </c>
      <c r="I310">
        <v>27</v>
      </c>
      <c r="J310">
        <v>273</v>
      </c>
      <c r="K310" t="s">
        <v>26</v>
      </c>
    </row>
    <row r="311" spans="1:11" x14ac:dyDescent="0.3">
      <c r="A311" t="s">
        <v>342</v>
      </c>
      <c r="B311" s="1">
        <v>43310</v>
      </c>
      <c r="C311" t="s">
        <v>20</v>
      </c>
      <c r="D311" t="s">
        <v>25</v>
      </c>
      <c r="E311">
        <v>14</v>
      </c>
      <c r="F311">
        <v>230</v>
      </c>
      <c r="G311">
        <v>3220</v>
      </c>
      <c r="H311">
        <v>0.03</v>
      </c>
      <c r="I311">
        <v>96.6</v>
      </c>
      <c r="J311">
        <v>3123</v>
      </c>
      <c r="K311" t="s">
        <v>29</v>
      </c>
    </row>
    <row r="312" spans="1:11" x14ac:dyDescent="0.3">
      <c r="A312" t="s">
        <v>343</v>
      </c>
      <c r="B312" s="1">
        <v>43310</v>
      </c>
      <c r="C312" t="s">
        <v>16</v>
      </c>
      <c r="D312" t="s">
        <v>25</v>
      </c>
      <c r="E312">
        <v>11</v>
      </c>
      <c r="F312">
        <v>40</v>
      </c>
      <c r="G312">
        <v>440</v>
      </c>
      <c r="H312">
        <v>0.12</v>
      </c>
      <c r="I312">
        <v>52.8</v>
      </c>
      <c r="J312">
        <v>387</v>
      </c>
      <c r="K312" t="s">
        <v>33</v>
      </c>
    </row>
    <row r="313" spans="1:11" x14ac:dyDescent="0.3">
      <c r="A313" t="s">
        <v>344</v>
      </c>
      <c r="B313" s="1">
        <v>43310</v>
      </c>
      <c r="C313" t="s">
        <v>31</v>
      </c>
      <c r="D313" t="s">
        <v>32</v>
      </c>
      <c r="E313">
        <v>3</v>
      </c>
      <c r="F313">
        <v>16</v>
      </c>
      <c r="G313">
        <v>48</v>
      </c>
      <c r="H313">
        <v>0.06</v>
      </c>
      <c r="I313">
        <v>2.88</v>
      </c>
      <c r="J313">
        <v>45</v>
      </c>
      <c r="K313" t="s">
        <v>36</v>
      </c>
    </row>
    <row r="314" spans="1:11" x14ac:dyDescent="0.3">
      <c r="A314" t="s">
        <v>345</v>
      </c>
      <c r="B314" s="1">
        <v>43310</v>
      </c>
      <c r="C314" t="s">
        <v>16</v>
      </c>
      <c r="D314" t="s">
        <v>32</v>
      </c>
      <c r="E314">
        <v>18</v>
      </c>
      <c r="F314">
        <v>40</v>
      </c>
      <c r="G314">
        <v>720</v>
      </c>
      <c r="H314">
        <v>0.06</v>
      </c>
      <c r="I314">
        <v>43.199999999999996</v>
      </c>
      <c r="J314">
        <v>677</v>
      </c>
      <c r="K314" t="s">
        <v>38</v>
      </c>
    </row>
    <row r="315" spans="1:11" x14ac:dyDescent="0.3">
      <c r="A315" t="s">
        <v>346</v>
      </c>
      <c r="B315" s="1">
        <v>43310</v>
      </c>
      <c r="C315" t="s">
        <v>20</v>
      </c>
      <c r="D315" t="s">
        <v>32</v>
      </c>
      <c r="E315">
        <v>7</v>
      </c>
      <c r="F315">
        <v>230</v>
      </c>
      <c r="G315">
        <v>1610</v>
      </c>
      <c r="H315">
        <v>0.05</v>
      </c>
      <c r="I315">
        <v>80.5</v>
      </c>
      <c r="J315">
        <v>1530</v>
      </c>
      <c r="K315" t="s">
        <v>40</v>
      </c>
    </row>
    <row r="316" spans="1:11" x14ac:dyDescent="0.3">
      <c r="A316" t="s">
        <v>347</v>
      </c>
      <c r="B316" s="1">
        <v>43310</v>
      </c>
      <c r="C316" t="s">
        <v>16</v>
      </c>
      <c r="D316" t="s">
        <v>32</v>
      </c>
      <c r="E316">
        <v>23</v>
      </c>
      <c r="F316">
        <v>40</v>
      </c>
      <c r="G316">
        <v>920</v>
      </c>
      <c r="H316">
        <v>0.05</v>
      </c>
      <c r="I316">
        <v>46</v>
      </c>
      <c r="J316">
        <v>874</v>
      </c>
      <c r="K316" t="s">
        <v>42</v>
      </c>
    </row>
    <row r="317" spans="1:11" x14ac:dyDescent="0.3">
      <c r="A317" t="s">
        <v>348</v>
      </c>
      <c r="B317" s="1">
        <v>43311</v>
      </c>
      <c r="C317" t="s">
        <v>20</v>
      </c>
      <c r="D317" t="s">
        <v>32</v>
      </c>
      <c r="E317">
        <v>2</v>
      </c>
      <c r="F317">
        <v>230</v>
      </c>
      <c r="G317">
        <v>460</v>
      </c>
      <c r="H317">
        <v>0.08</v>
      </c>
      <c r="I317">
        <v>36.800000000000004</v>
      </c>
      <c r="J317">
        <v>423</v>
      </c>
      <c r="K317" t="s">
        <v>44</v>
      </c>
    </row>
    <row r="318" spans="1:11" x14ac:dyDescent="0.3">
      <c r="A318" t="s">
        <v>349</v>
      </c>
      <c r="B318" s="1">
        <v>43311</v>
      </c>
      <c r="C318" t="s">
        <v>16</v>
      </c>
      <c r="D318" t="s">
        <v>28</v>
      </c>
      <c r="E318">
        <v>18</v>
      </c>
      <c r="F318">
        <v>40</v>
      </c>
      <c r="G318">
        <v>720</v>
      </c>
      <c r="H318">
        <v>0.04</v>
      </c>
      <c r="I318">
        <v>28.8</v>
      </c>
      <c r="J318">
        <v>691</v>
      </c>
      <c r="K318" t="s">
        <v>14</v>
      </c>
    </row>
    <row r="319" spans="1:11" x14ac:dyDescent="0.3">
      <c r="A319" t="s">
        <v>350</v>
      </c>
      <c r="B319" s="1">
        <v>43311</v>
      </c>
      <c r="C319" t="s">
        <v>20</v>
      </c>
      <c r="D319" t="s">
        <v>17</v>
      </c>
      <c r="E319">
        <v>7</v>
      </c>
      <c r="F319">
        <v>230</v>
      </c>
      <c r="G319">
        <v>1610</v>
      </c>
      <c r="H319">
        <v>0.05</v>
      </c>
      <c r="I319">
        <v>80.5</v>
      </c>
      <c r="J319">
        <v>1530</v>
      </c>
      <c r="K319" t="s">
        <v>18</v>
      </c>
    </row>
    <row r="320" spans="1:11" x14ac:dyDescent="0.3">
      <c r="A320" t="s">
        <v>351</v>
      </c>
      <c r="B320" s="1">
        <v>43311</v>
      </c>
      <c r="C320" t="s">
        <v>16</v>
      </c>
      <c r="D320" t="s">
        <v>32</v>
      </c>
      <c r="E320">
        <v>14</v>
      </c>
      <c r="F320">
        <v>40</v>
      </c>
      <c r="G320">
        <v>560</v>
      </c>
      <c r="H320">
        <v>0.11</v>
      </c>
      <c r="I320">
        <v>61.6</v>
      </c>
      <c r="J320">
        <v>498</v>
      </c>
      <c r="K320" t="s">
        <v>21</v>
      </c>
    </row>
    <row r="321" spans="1:11" x14ac:dyDescent="0.3">
      <c r="A321" t="s">
        <v>352</v>
      </c>
      <c r="B321" s="1">
        <v>43311</v>
      </c>
      <c r="C321" t="s">
        <v>35</v>
      </c>
      <c r="D321" t="s">
        <v>17</v>
      </c>
      <c r="E321">
        <v>13</v>
      </c>
      <c r="F321">
        <v>150</v>
      </c>
      <c r="G321">
        <v>1950</v>
      </c>
      <c r="H321">
        <v>0.02</v>
      </c>
      <c r="I321">
        <v>39</v>
      </c>
      <c r="J321">
        <v>1911</v>
      </c>
      <c r="K321" t="s">
        <v>23</v>
      </c>
    </row>
    <row r="322" spans="1:11" x14ac:dyDescent="0.3">
      <c r="A322" t="s">
        <v>353</v>
      </c>
      <c r="B322" s="1">
        <v>43311</v>
      </c>
      <c r="C322" t="s">
        <v>12</v>
      </c>
      <c r="D322" t="s">
        <v>13</v>
      </c>
      <c r="E322">
        <v>12</v>
      </c>
      <c r="F322">
        <v>80</v>
      </c>
      <c r="G322">
        <v>960</v>
      </c>
      <c r="H322">
        <v>0.04</v>
      </c>
      <c r="I322">
        <v>38.4</v>
      </c>
      <c r="J322">
        <v>922</v>
      </c>
      <c r="K322" t="s">
        <v>26</v>
      </c>
    </row>
    <row r="323" spans="1:11" x14ac:dyDescent="0.3">
      <c r="A323" t="s">
        <v>354</v>
      </c>
      <c r="B323" s="1">
        <v>43311</v>
      </c>
      <c r="C323" t="s">
        <v>20</v>
      </c>
      <c r="D323" t="s">
        <v>32</v>
      </c>
      <c r="E323">
        <v>20</v>
      </c>
      <c r="F323">
        <v>230</v>
      </c>
      <c r="G323">
        <v>4600</v>
      </c>
      <c r="H323">
        <v>0.09</v>
      </c>
      <c r="I323">
        <v>414</v>
      </c>
      <c r="J323">
        <v>4186</v>
      </c>
      <c r="K323" t="s">
        <v>29</v>
      </c>
    </row>
    <row r="324" spans="1:11" x14ac:dyDescent="0.3">
      <c r="A324" t="s">
        <v>355</v>
      </c>
      <c r="B324" s="1">
        <v>43311</v>
      </c>
      <c r="C324" t="s">
        <v>16</v>
      </c>
      <c r="D324" t="s">
        <v>32</v>
      </c>
      <c r="E324">
        <v>5</v>
      </c>
      <c r="F324">
        <v>40</v>
      </c>
      <c r="G324">
        <v>200</v>
      </c>
      <c r="H324">
        <v>0.03</v>
      </c>
      <c r="I324">
        <v>6</v>
      </c>
      <c r="J324">
        <v>194</v>
      </c>
      <c r="K324" t="s">
        <v>33</v>
      </c>
    </row>
    <row r="325" spans="1:11" x14ac:dyDescent="0.3">
      <c r="A325" t="s">
        <v>356</v>
      </c>
      <c r="B325" s="1">
        <v>43311</v>
      </c>
      <c r="C325" t="s">
        <v>31</v>
      </c>
      <c r="D325" t="s">
        <v>32</v>
      </c>
      <c r="E325">
        <v>2</v>
      </c>
      <c r="F325">
        <v>16</v>
      </c>
      <c r="G325">
        <v>32</v>
      </c>
      <c r="H325">
        <v>0.04</v>
      </c>
      <c r="I325">
        <v>1.28</v>
      </c>
      <c r="J325">
        <v>31</v>
      </c>
      <c r="K325" t="s">
        <v>36</v>
      </c>
    </row>
    <row r="326" spans="1:11" x14ac:dyDescent="0.3">
      <c r="A326" t="s">
        <v>357</v>
      </c>
      <c r="B326" s="1">
        <v>43282</v>
      </c>
      <c r="C326" t="s">
        <v>12</v>
      </c>
      <c r="D326" t="s">
        <v>25</v>
      </c>
      <c r="E326">
        <v>10</v>
      </c>
      <c r="F326">
        <v>80</v>
      </c>
      <c r="G326">
        <v>800</v>
      </c>
      <c r="H326">
        <v>0.08</v>
      </c>
      <c r="I326">
        <v>64</v>
      </c>
      <c r="J326">
        <v>736</v>
      </c>
      <c r="K326" t="s">
        <v>38</v>
      </c>
    </row>
    <row r="327" spans="1:11" x14ac:dyDescent="0.3">
      <c r="A327" t="s">
        <v>358</v>
      </c>
      <c r="B327" s="1">
        <v>43282</v>
      </c>
      <c r="C327" t="s">
        <v>16</v>
      </c>
      <c r="D327" t="s">
        <v>28</v>
      </c>
      <c r="E327">
        <v>18</v>
      </c>
      <c r="F327">
        <v>40</v>
      </c>
      <c r="G327">
        <v>720</v>
      </c>
      <c r="H327">
        <v>0.06</v>
      </c>
      <c r="I327">
        <v>43.199999999999996</v>
      </c>
      <c r="J327">
        <v>677</v>
      </c>
      <c r="K327" t="s">
        <v>40</v>
      </c>
    </row>
    <row r="328" spans="1:11" x14ac:dyDescent="0.3">
      <c r="A328" t="s">
        <v>359</v>
      </c>
      <c r="B328" s="1">
        <v>43282</v>
      </c>
      <c r="C328" t="s">
        <v>20</v>
      </c>
      <c r="D328" t="s">
        <v>17</v>
      </c>
      <c r="E328">
        <v>7</v>
      </c>
      <c r="F328">
        <v>230</v>
      </c>
      <c r="G328">
        <v>1610</v>
      </c>
      <c r="H328">
        <v>0.08</v>
      </c>
      <c r="I328">
        <v>128.80000000000001</v>
      </c>
      <c r="J328">
        <v>1481</v>
      </c>
      <c r="K328" t="s">
        <v>42</v>
      </c>
    </row>
    <row r="329" spans="1:11" x14ac:dyDescent="0.3">
      <c r="A329" t="s">
        <v>360</v>
      </c>
      <c r="B329" s="1">
        <v>43282</v>
      </c>
      <c r="C329" t="s">
        <v>16</v>
      </c>
      <c r="D329" t="s">
        <v>28</v>
      </c>
      <c r="E329">
        <v>15</v>
      </c>
      <c r="F329">
        <v>40</v>
      </c>
      <c r="G329">
        <v>600</v>
      </c>
      <c r="H329">
        <v>0.03</v>
      </c>
      <c r="I329">
        <v>18</v>
      </c>
      <c r="J329">
        <v>582</v>
      </c>
      <c r="K329" t="s">
        <v>44</v>
      </c>
    </row>
    <row r="330" spans="1:11" x14ac:dyDescent="0.3">
      <c r="A330" t="s">
        <v>361</v>
      </c>
      <c r="B330" s="1">
        <v>43282</v>
      </c>
      <c r="C330" t="s">
        <v>31</v>
      </c>
      <c r="D330" t="s">
        <v>25</v>
      </c>
      <c r="E330">
        <v>6</v>
      </c>
      <c r="F330">
        <v>16</v>
      </c>
      <c r="G330">
        <v>96</v>
      </c>
      <c r="H330">
        <v>0.01</v>
      </c>
      <c r="I330">
        <v>0.96</v>
      </c>
      <c r="J330">
        <v>95</v>
      </c>
      <c r="K330" t="s">
        <v>14</v>
      </c>
    </row>
    <row r="331" spans="1:11" x14ac:dyDescent="0.3">
      <c r="A331" t="s">
        <v>362</v>
      </c>
      <c r="B331" s="1">
        <v>43282</v>
      </c>
      <c r="C331" t="s">
        <v>35</v>
      </c>
      <c r="D331" t="s">
        <v>28</v>
      </c>
      <c r="E331">
        <v>9</v>
      </c>
      <c r="F331">
        <v>150</v>
      </c>
      <c r="G331">
        <v>1350</v>
      </c>
      <c r="H331">
        <v>0.02</v>
      </c>
      <c r="I331">
        <v>27</v>
      </c>
      <c r="J331">
        <v>1323</v>
      </c>
      <c r="K331" t="s">
        <v>18</v>
      </c>
    </row>
    <row r="332" spans="1:11" x14ac:dyDescent="0.3">
      <c r="A332" t="s">
        <v>363</v>
      </c>
      <c r="B332" s="1">
        <v>43282</v>
      </c>
      <c r="C332" t="s">
        <v>31</v>
      </c>
      <c r="D332" t="s">
        <v>32</v>
      </c>
      <c r="E332">
        <v>15</v>
      </c>
      <c r="F332">
        <v>16</v>
      </c>
      <c r="G332">
        <v>240</v>
      </c>
      <c r="H332">
        <v>0.01</v>
      </c>
      <c r="I332">
        <v>2.4</v>
      </c>
      <c r="J332">
        <v>238</v>
      </c>
      <c r="K332" t="s">
        <v>21</v>
      </c>
    </row>
    <row r="333" spans="1:11" x14ac:dyDescent="0.3">
      <c r="A333" t="s">
        <v>364</v>
      </c>
      <c r="B333" s="1">
        <v>43282</v>
      </c>
      <c r="C333" t="s">
        <v>12</v>
      </c>
      <c r="D333" t="s">
        <v>32</v>
      </c>
      <c r="E333">
        <v>22</v>
      </c>
      <c r="F333">
        <v>80</v>
      </c>
      <c r="G333">
        <v>1760</v>
      </c>
      <c r="H333">
        <v>0.11</v>
      </c>
      <c r="I333">
        <v>193.6</v>
      </c>
      <c r="J333">
        <v>1566</v>
      </c>
      <c r="K333" t="s">
        <v>23</v>
      </c>
    </row>
    <row r="334" spans="1:11" x14ac:dyDescent="0.3">
      <c r="A334" t="s">
        <v>365</v>
      </c>
      <c r="B334" s="1">
        <v>43282</v>
      </c>
      <c r="C334" t="s">
        <v>35</v>
      </c>
      <c r="D334" t="s">
        <v>17</v>
      </c>
      <c r="E334">
        <v>13</v>
      </c>
      <c r="F334">
        <v>150</v>
      </c>
      <c r="G334">
        <v>1950</v>
      </c>
      <c r="H334">
        <v>0.02</v>
      </c>
      <c r="I334">
        <v>39</v>
      </c>
      <c r="J334">
        <v>1911</v>
      </c>
      <c r="K334" t="s">
        <v>26</v>
      </c>
    </row>
    <row r="335" spans="1:11" x14ac:dyDescent="0.3">
      <c r="A335" t="s">
        <v>366</v>
      </c>
      <c r="B335" s="1">
        <v>43283</v>
      </c>
      <c r="C335" t="s">
        <v>31</v>
      </c>
      <c r="D335" t="s">
        <v>25</v>
      </c>
      <c r="E335">
        <v>12</v>
      </c>
      <c r="F335">
        <v>16</v>
      </c>
      <c r="G335">
        <v>192</v>
      </c>
      <c r="H335">
        <v>0.03</v>
      </c>
      <c r="I335">
        <v>5.76</v>
      </c>
      <c r="J335">
        <v>186</v>
      </c>
      <c r="K335" t="s">
        <v>29</v>
      </c>
    </row>
    <row r="336" spans="1:11" x14ac:dyDescent="0.3">
      <c r="A336" t="s">
        <v>367</v>
      </c>
      <c r="B336" s="1">
        <v>43283</v>
      </c>
      <c r="C336" t="s">
        <v>16</v>
      </c>
      <c r="D336" t="s">
        <v>28</v>
      </c>
      <c r="E336">
        <v>4</v>
      </c>
      <c r="F336">
        <v>40</v>
      </c>
      <c r="G336">
        <v>160</v>
      </c>
      <c r="H336">
        <v>0.05</v>
      </c>
      <c r="I336">
        <v>8</v>
      </c>
      <c r="J336">
        <v>152</v>
      </c>
      <c r="K336" t="s">
        <v>33</v>
      </c>
    </row>
    <row r="337" spans="1:11" x14ac:dyDescent="0.3">
      <c r="A337" t="s">
        <v>368</v>
      </c>
      <c r="B337" s="1">
        <v>43283</v>
      </c>
      <c r="C337" t="s">
        <v>20</v>
      </c>
      <c r="D337" t="s">
        <v>17</v>
      </c>
      <c r="E337">
        <v>19</v>
      </c>
      <c r="F337">
        <v>230</v>
      </c>
      <c r="G337">
        <v>4370</v>
      </c>
      <c r="H337">
        <v>0.11</v>
      </c>
      <c r="I337">
        <v>480.7</v>
      </c>
      <c r="J337">
        <v>3889</v>
      </c>
      <c r="K337" t="s">
        <v>36</v>
      </c>
    </row>
    <row r="338" spans="1:11" x14ac:dyDescent="0.3">
      <c r="A338" t="s">
        <v>369</v>
      </c>
      <c r="B338" s="1">
        <v>43283</v>
      </c>
      <c r="C338" t="s">
        <v>16</v>
      </c>
      <c r="D338" t="s">
        <v>17</v>
      </c>
      <c r="E338">
        <v>4</v>
      </c>
      <c r="F338">
        <v>40</v>
      </c>
      <c r="G338">
        <v>160</v>
      </c>
      <c r="H338">
        <v>0.06</v>
      </c>
      <c r="I338">
        <v>9.6</v>
      </c>
      <c r="J338">
        <v>150</v>
      </c>
      <c r="K338" t="s">
        <v>38</v>
      </c>
    </row>
    <row r="339" spans="1:11" x14ac:dyDescent="0.3">
      <c r="A339" t="s">
        <v>370</v>
      </c>
      <c r="B339" s="1">
        <v>43283</v>
      </c>
      <c r="C339" t="s">
        <v>31</v>
      </c>
      <c r="D339" t="s">
        <v>25</v>
      </c>
      <c r="E339">
        <v>6</v>
      </c>
      <c r="F339">
        <v>16</v>
      </c>
      <c r="G339">
        <v>96</v>
      </c>
      <c r="H339">
        <v>7.0000000000000007E-2</v>
      </c>
      <c r="I339">
        <v>6.7200000000000006</v>
      </c>
      <c r="J339">
        <v>89</v>
      </c>
      <c r="K339" t="s">
        <v>40</v>
      </c>
    </row>
    <row r="340" spans="1:11" x14ac:dyDescent="0.3">
      <c r="A340" t="s">
        <v>371</v>
      </c>
      <c r="B340" s="1">
        <v>43283</v>
      </c>
      <c r="C340" t="s">
        <v>20</v>
      </c>
      <c r="D340" t="s">
        <v>25</v>
      </c>
      <c r="E340">
        <v>15</v>
      </c>
      <c r="F340">
        <v>230</v>
      </c>
      <c r="G340">
        <v>3450</v>
      </c>
      <c r="H340">
        <v>0.11</v>
      </c>
      <c r="I340">
        <v>379.5</v>
      </c>
      <c r="J340">
        <v>3070</v>
      </c>
      <c r="K340" t="s">
        <v>42</v>
      </c>
    </row>
    <row r="341" spans="1:11" x14ac:dyDescent="0.3">
      <c r="A341" t="s">
        <v>372</v>
      </c>
      <c r="B341" s="1">
        <v>43283</v>
      </c>
      <c r="C341" t="s">
        <v>12</v>
      </c>
      <c r="D341" t="s">
        <v>25</v>
      </c>
      <c r="E341">
        <v>16</v>
      </c>
      <c r="F341">
        <v>80</v>
      </c>
      <c r="G341">
        <v>1280</v>
      </c>
      <c r="H341">
        <v>0.04</v>
      </c>
      <c r="I341">
        <v>51.2</v>
      </c>
      <c r="J341">
        <v>1229</v>
      </c>
      <c r="K341" t="s">
        <v>44</v>
      </c>
    </row>
    <row r="342" spans="1:11" x14ac:dyDescent="0.3">
      <c r="A342" t="s">
        <v>373</v>
      </c>
      <c r="B342" s="1">
        <v>43283</v>
      </c>
      <c r="C342" t="s">
        <v>16</v>
      </c>
      <c r="D342" t="s">
        <v>13</v>
      </c>
      <c r="E342">
        <v>7</v>
      </c>
      <c r="F342">
        <v>40</v>
      </c>
      <c r="G342">
        <v>280</v>
      </c>
      <c r="H342">
        <v>0.1</v>
      </c>
      <c r="I342">
        <v>28</v>
      </c>
      <c r="J342">
        <v>252</v>
      </c>
      <c r="K342" t="s">
        <v>14</v>
      </c>
    </row>
    <row r="343" spans="1:11" x14ac:dyDescent="0.3">
      <c r="A343" t="s">
        <v>374</v>
      </c>
      <c r="B343" s="1">
        <v>43283</v>
      </c>
      <c r="C343" t="s">
        <v>16</v>
      </c>
      <c r="D343" t="s">
        <v>25</v>
      </c>
      <c r="E343">
        <v>11</v>
      </c>
      <c r="F343">
        <v>40</v>
      </c>
      <c r="G343">
        <v>440</v>
      </c>
      <c r="H343">
        <v>0.05</v>
      </c>
      <c r="I343">
        <v>22</v>
      </c>
      <c r="J343">
        <v>418</v>
      </c>
      <c r="K343" t="s">
        <v>18</v>
      </c>
    </row>
    <row r="344" spans="1:11" x14ac:dyDescent="0.3">
      <c r="A344" t="s">
        <v>375</v>
      </c>
      <c r="B344" s="1">
        <v>43283</v>
      </c>
      <c r="C344" t="s">
        <v>12</v>
      </c>
      <c r="D344" t="s">
        <v>32</v>
      </c>
      <c r="E344">
        <v>9</v>
      </c>
      <c r="F344">
        <v>80</v>
      </c>
      <c r="G344">
        <v>720</v>
      </c>
      <c r="H344">
        <v>0.06</v>
      </c>
      <c r="I344">
        <v>43.199999999999996</v>
      </c>
      <c r="J344">
        <v>677</v>
      </c>
      <c r="K344" t="s">
        <v>21</v>
      </c>
    </row>
    <row r="345" spans="1:11" x14ac:dyDescent="0.3">
      <c r="A345" t="s">
        <v>376</v>
      </c>
      <c r="B345" s="1">
        <v>43283</v>
      </c>
      <c r="C345" t="s">
        <v>12</v>
      </c>
      <c r="D345" t="s">
        <v>17</v>
      </c>
      <c r="E345">
        <v>21</v>
      </c>
      <c r="F345">
        <v>80</v>
      </c>
      <c r="G345">
        <v>1680</v>
      </c>
      <c r="H345">
        <v>0.04</v>
      </c>
      <c r="I345">
        <v>67.2</v>
      </c>
      <c r="J345">
        <v>1613</v>
      </c>
      <c r="K345" t="s">
        <v>23</v>
      </c>
    </row>
    <row r="346" spans="1:11" x14ac:dyDescent="0.3">
      <c r="A346" t="s">
        <v>377</v>
      </c>
      <c r="B346" s="1">
        <v>43283</v>
      </c>
      <c r="C346" t="s">
        <v>16</v>
      </c>
      <c r="D346" t="s">
        <v>25</v>
      </c>
      <c r="E346">
        <v>2</v>
      </c>
      <c r="F346">
        <v>40</v>
      </c>
      <c r="G346">
        <v>80</v>
      </c>
      <c r="H346">
        <v>0.03</v>
      </c>
      <c r="I346">
        <v>2.4</v>
      </c>
      <c r="J346">
        <v>78</v>
      </c>
      <c r="K346" t="s">
        <v>26</v>
      </c>
    </row>
    <row r="347" spans="1:11" x14ac:dyDescent="0.3">
      <c r="A347" t="s">
        <v>378</v>
      </c>
      <c r="B347" s="1">
        <v>43284</v>
      </c>
      <c r="C347" t="s">
        <v>31</v>
      </c>
      <c r="D347" t="s">
        <v>25</v>
      </c>
      <c r="E347">
        <v>17</v>
      </c>
      <c r="F347">
        <v>16</v>
      </c>
      <c r="G347">
        <v>272</v>
      </c>
      <c r="H347">
        <v>0.05</v>
      </c>
      <c r="I347">
        <v>13.600000000000001</v>
      </c>
      <c r="J347">
        <v>258</v>
      </c>
      <c r="K347" t="s">
        <v>29</v>
      </c>
    </row>
    <row r="348" spans="1:11" x14ac:dyDescent="0.3">
      <c r="A348" t="s">
        <v>379</v>
      </c>
      <c r="B348" s="1">
        <v>43284</v>
      </c>
      <c r="C348" t="s">
        <v>16</v>
      </c>
      <c r="D348" t="s">
        <v>13</v>
      </c>
      <c r="E348">
        <v>18</v>
      </c>
      <c r="F348">
        <v>40</v>
      </c>
      <c r="G348">
        <v>720</v>
      </c>
      <c r="H348">
        <v>0.06</v>
      </c>
      <c r="I348">
        <v>43.199999999999996</v>
      </c>
      <c r="J348">
        <v>677</v>
      </c>
      <c r="K348" t="s">
        <v>33</v>
      </c>
    </row>
    <row r="349" spans="1:11" x14ac:dyDescent="0.3">
      <c r="A349" t="s">
        <v>380</v>
      </c>
      <c r="B349" s="1">
        <v>43284</v>
      </c>
      <c r="C349" t="s">
        <v>16</v>
      </c>
      <c r="D349" t="s">
        <v>13</v>
      </c>
      <c r="E349">
        <v>9</v>
      </c>
      <c r="F349">
        <v>40</v>
      </c>
      <c r="G349">
        <v>360</v>
      </c>
      <c r="H349">
        <v>0.01</v>
      </c>
      <c r="I349">
        <v>3.6</v>
      </c>
      <c r="J349">
        <v>356</v>
      </c>
      <c r="K349" t="s">
        <v>36</v>
      </c>
    </row>
    <row r="350" spans="1:11" x14ac:dyDescent="0.3">
      <c r="A350" t="s">
        <v>381</v>
      </c>
      <c r="B350" s="1">
        <v>43284</v>
      </c>
      <c r="C350" t="s">
        <v>16</v>
      </c>
      <c r="D350" t="s">
        <v>17</v>
      </c>
      <c r="E350">
        <v>7</v>
      </c>
      <c r="F350">
        <v>40</v>
      </c>
      <c r="G350">
        <v>280</v>
      </c>
      <c r="H350">
        <v>0.01</v>
      </c>
      <c r="I350">
        <v>2.8000000000000003</v>
      </c>
      <c r="J350">
        <v>277</v>
      </c>
      <c r="K350" t="s">
        <v>38</v>
      </c>
    </row>
    <row r="351" spans="1:11" x14ac:dyDescent="0.3">
      <c r="A351" t="s">
        <v>382</v>
      </c>
      <c r="B351" s="1">
        <v>43284</v>
      </c>
      <c r="C351" t="s">
        <v>20</v>
      </c>
      <c r="D351" t="s">
        <v>25</v>
      </c>
      <c r="E351">
        <v>12</v>
      </c>
      <c r="F351">
        <v>230</v>
      </c>
      <c r="G351">
        <v>2760</v>
      </c>
      <c r="H351">
        <v>0.06</v>
      </c>
      <c r="I351">
        <v>165.6</v>
      </c>
      <c r="J351">
        <v>2594</v>
      </c>
      <c r="K351" t="s">
        <v>40</v>
      </c>
    </row>
    <row r="352" spans="1:11" x14ac:dyDescent="0.3">
      <c r="A352" t="s">
        <v>383</v>
      </c>
      <c r="B352" s="1">
        <v>43284</v>
      </c>
      <c r="C352" t="s">
        <v>31</v>
      </c>
      <c r="D352" t="s">
        <v>17</v>
      </c>
      <c r="E352">
        <v>22</v>
      </c>
      <c r="F352">
        <v>16</v>
      </c>
      <c r="G352">
        <v>352</v>
      </c>
      <c r="H352">
        <v>0.04</v>
      </c>
      <c r="I352">
        <v>14.08</v>
      </c>
      <c r="J352">
        <v>338</v>
      </c>
      <c r="K352" t="s">
        <v>14</v>
      </c>
    </row>
    <row r="353" spans="1:11" x14ac:dyDescent="0.3">
      <c r="A353" t="s">
        <v>384</v>
      </c>
      <c r="B353" s="1">
        <v>43285</v>
      </c>
      <c r="C353" t="s">
        <v>35</v>
      </c>
      <c r="D353" t="s">
        <v>13</v>
      </c>
      <c r="E353">
        <v>5</v>
      </c>
      <c r="F353">
        <v>150</v>
      </c>
      <c r="G353">
        <v>750</v>
      </c>
      <c r="H353">
        <v>0.11</v>
      </c>
      <c r="I353">
        <v>82.5</v>
      </c>
      <c r="J353">
        <v>668</v>
      </c>
      <c r="K353" t="s">
        <v>18</v>
      </c>
    </row>
    <row r="354" spans="1:11" x14ac:dyDescent="0.3">
      <c r="A354" t="s">
        <v>385</v>
      </c>
      <c r="B354" s="1">
        <v>43285</v>
      </c>
      <c r="C354" t="s">
        <v>12</v>
      </c>
      <c r="D354" t="s">
        <v>17</v>
      </c>
      <c r="E354">
        <v>14</v>
      </c>
      <c r="F354">
        <v>80</v>
      </c>
      <c r="G354">
        <v>1120</v>
      </c>
      <c r="H354">
        <v>0.11</v>
      </c>
      <c r="I354">
        <v>123.2</v>
      </c>
      <c r="J354">
        <v>997</v>
      </c>
      <c r="K354" t="s">
        <v>21</v>
      </c>
    </row>
    <row r="355" spans="1:11" x14ac:dyDescent="0.3">
      <c r="A355" t="s">
        <v>386</v>
      </c>
      <c r="B355" s="1">
        <v>43285</v>
      </c>
      <c r="C355" t="s">
        <v>31</v>
      </c>
      <c r="D355" t="s">
        <v>25</v>
      </c>
      <c r="E355">
        <v>8</v>
      </c>
      <c r="F355">
        <v>16</v>
      </c>
      <c r="G355">
        <v>128</v>
      </c>
      <c r="H355">
        <v>0.03</v>
      </c>
      <c r="I355">
        <v>3.84</v>
      </c>
      <c r="J355">
        <v>124</v>
      </c>
      <c r="K355" t="s">
        <v>23</v>
      </c>
    </row>
    <row r="356" spans="1:11" x14ac:dyDescent="0.3">
      <c r="A356" t="s">
        <v>387</v>
      </c>
      <c r="B356" s="1">
        <v>43285</v>
      </c>
      <c r="C356" t="s">
        <v>20</v>
      </c>
      <c r="D356" t="s">
        <v>25</v>
      </c>
      <c r="E356">
        <v>6</v>
      </c>
      <c r="F356">
        <v>230</v>
      </c>
      <c r="G356">
        <v>1380</v>
      </c>
      <c r="H356">
        <v>0.05</v>
      </c>
      <c r="I356">
        <v>69</v>
      </c>
      <c r="J356">
        <v>1311</v>
      </c>
      <c r="K356" t="s">
        <v>26</v>
      </c>
    </row>
    <row r="357" spans="1:11" x14ac:dyDescent="0.3">
      <c r="A357" t="s">
        <v>388</v>
      </c>
      <c r="B357" s="1">
        <v>43285</v>
      </c>
      <c r="C357" t="s">
        <v>31</v>
      </c>
      <c r="D357" t="s">
        <v>28</v>
      </c>
      <c r="E357">
        <v>7</v>
      </c>
      <c r="F357">
        <v>16</v>
      </c>
      <c r="G357">
        <v>112</v>
      </c>
      <c r="H357">
        <v>0.08</v>
      </c>
      <c r="I357">
        <v>8.9600000000000009</v>
      </c>
      <c r="J357">
        <v>103</v>
      </c>
      <c r="K357" t="s">
        <v>29</v>
      </c>
    </row>
    <row r="358" spans="1:11" x14ac:dyDescent="0.3">
      <c r="A358" t="s">
        <v>389</v>
      </c>
      <c r="B358" s="1">
        <v>43285</v>
      </c>
      <c r="C358" t="s">
        <v>12</v>
      </c>
      <c r="D358" t="s">
        <v>17</v>
      </c>
      <c r="E358">
        <v>16</v>
      </c>
      <c r="F358">
        <v>80</v>
      </c>
      <c r="G358">
        <v>1280</v>
      </c>
      <c r="H358">
        <v>0.04</v>
      </c>
      <c r="I358">
        <v>51.2</v>
      </c>
      <c r="J358">
        <v>1229</v>
      </c>
      <c r="K358" t="s">
        <v>33</v>
      </c>
    </row>
    <row r="359" spans="1:11" x14ac:dyDescent="0.3">
      <c r="A359" t="s">
        <v>390</v>
      </c>
      <c r="B359" s="1">
        <v>43285</v>
      </c>
      <c r="C359" t="s">
        <v>35</v>
      </c>
      <c r="D359" t="s">
        <v>13</v>
      </c>
      <c r="E359">
        <v>17</v>
      </c>
      <c r="F359">
        <v>150</v>
      </c>
      <c r="G359">
        <v>2550</v>
      </c>
      <c r="H359">
        <v>0.12</v>
      </c>
      <c r="I359">
        <v>306</v>
      </c>
      <c r="J359">
        <v>2244</v>
      </c>
      <c r="K359" t="s">
        <v>36</v>
      </c>
    </row>
    <row r="360" spans="1:11" x14ac:dyDescent="0.3">
      <c r="A360" t="s">
        <v>391</v>
      </c>
      <c r="B360" s="1">
        <v>43285</v>
      </c>
      <c r="C360" t="s">
        <v>31</v>
      </c>
      <c r="D360" t="s">
        <v>17</v>
      </c>
      <c r="E360">
        <v>7</v>
      </c>
      <c r="F360">
        <v>16</v>
      </c>
      <c r="G360">
        <v>112</v>
      </c>
      <c r="H360">
        <v>0.08</v>
      </c>
      <c r="I360">
        <v>8.9600000000000009</v>
      </c>
      <c r="J360">
        <v>103</v>
      </c>
      <c r="K360" t="s">
        <v>38</v>
      </c>
    </row>
    <row r="361" spans="1:11" x14ac:dyDescent="0.3">
      <c r="A361" t="s">
        <v>392</v>
      </c>
      <c r="B361" s="1">
        <v>43286</v>
      </c>
      <c r="C361" t="s">
        <v>31</v>
      </c>
      <c r="D361" t="s">
        <v>13</v>
      </c>
      <c r="E361">
        <v>21</v>
      </c>
      <c r="F361">
        <v>16</v>
      </c>
      <c r="G361">
        <v>336</v>
      </c>
      <c r="H361">
        <v>0.09</v>
      </c>
      <c r="I361">
        <v>30.24</v>
      </c>
      <c r="J361">
        <v>306</v>
      </c>
      <c r="K361" t="s">
        <v>40</v>
      </c>
    </row>
    <row r="362" spans="1:11" x14ac:dyDescent="0.3">
      <c r="A362" t="s">
        <v>393</v>
      </c>
      <c r="B362" s="1">
        <v>43286</v>
      </c>
      <c r="C362" t="s">
        <v>31</v>
      </c>
      <c r="D362" t="s">
        <v>25</v>
      </c>
      <c r="E362">
        <v>23</v>
      </c>
      <c r="F362">
        <v>16</v>
      </c>
      <c r="G362">
        <v>368</v>
      </c>
      <c r="H362">
        <v>0.11</v>
      </c>
      <c r="I362">
        <v>40.479999999999997</v>
      </c>
      <c r="J362">
        <v>328</v>
      </c>
      <c r="K362" t="s">
        <v>42</v>
      </c>
    </row>
    <row r="363" spans="1:11" x14ac:dyDescent="0.3">
      <c r="A363" t="s">
        <v>394</v>
      </c>
      <c r="B363" s="1">
        <v>43286</v>
      </c>
      <c r="C363" t="s">
        <v>35</v>
      </c>
      <c r="D363" t="s">
        <v>25</v>
      </c>
      <c r="E363">
        <v>2</v>
      </c>
      <c r="F363">
        <v>150</v>
      </c>
      <c r="G363">
        <v>300</v>
      </c>
      <c r="H363">
        <v>0.02</v>
      </c>
      <c r="I363">
        <v>6</v>
      </c>
      <c r="J363">
        <v>294</v>
      </c>
      <c r="K363" t="s">
        <v>44</v>
      </c>
    </row>
    <row r="364" spans="1:11" x14ac:dyDescent="0.3">
      <c r="A364" t="s">
        <v>395</v>
      </c>
      <c r="B364" s="1">
        <v>43286</v>
      </c>
      <c r="C364" t="s">
        <v>35</v>
      </c>
      <c r="D364" t="s">
        <v>13</v>
      </c>
      <c r="E364">
        <v>22</v>
      </c>
      <c r="F364">
        <v>150</v>
      </c>
      <c r="G364">
        <v>3300</v>
      </c>
      <c r="H364">
        <v>7.0000000000000007E-2</v>
      </c>
      <c r="I364">
        <v>231.00000000000003</v>
      </c>
      <c r="J364">
        <v>3069</v>
      </c>
      <c r="K364" t="s">
        <v>14</v>
      </c>
    </row>
    <row r="365" spans="1:11" x14ac:dyDescent="0.3">
      <c r="A365" t="s">
        <v>396</v>
      </c>
      <c r="B365" s="1">
        <v>43286</v>
      </c>
      <c r="C365" t="s">
        <v>16</v>
      </c>
      <c r="D365" t="s">
        <v>28</v>
      </c>
      <c r="E365">
        <v>22</v>
      </c>
      <c r="F365">
        <v>40</v>
      </c>
      <c r="G365">
        <v>880</v>
      </c>
      <c r="H365">
        <v>0.01</v>
      </c>
      <c r="I365">
        <v>8.8000000000000007</v>
      </c>
      <c r="J365">
        <v>871</v>
      </c>
      <c r="K365" t="s">
        <v>18</v>
      </c>
    </row>
    <row r="366" spans="1:11" x14ac:dyDescent="0.3">
      <c r="A366" t="s">
        <v>397</v>
      </c>
      <c r="B366" s="1">
        <v>43286</v>
      </c>
      <c r="C366" t="s">
        <v>12</v>
      </c>
      <c r="D366" t="s">
        <v>17</v>
      </c>
      <c r="E366">
        <v>10</v>
      </c>
      <c r="F366">
        <v>80</v>
      </c>
      <c r="G366">
        <v>800</v>
      </c>
      <c r="H366">
        <v>0.11</v>
      </c>
      <c r="I366">
        <v>88</v>
      </c>
      <c r="J366">
        <v>712</v>
      </c>
      <c r="K366" t="s">
        <v>21</v>
      </c>
    </row>
    <row r="367" spans="1:11" x14ac:dyDescent="0.3">
      <c r="A367" t="s">
        <v>398</v>
      </c>
      <c r="B367" s="1">
        <v>43286</v>
      </c>
      <c r="C367" t="s">
        <v>12</v>
      </c>
      <c r="D367" t="s">
        <v>32</v>
      </c>
      <c r="E367">
        <v>13</v>
      </c>
      <c r="F367">
        <v>80</v>
      </c>
      <c r="G367">
        <v>1040</v>
      </c>
      <c r="H367">
        <v>0.05</v>
      </c>
      <c r="I367">
        <v>52</v>
      </c>
      <c r="J367">
        <v>988</v>
      </c>
      <c r="K367" t="s">
        <v>23</v>
      </c>
    </row>
    <row r="368" spans="1:11" x14ac:dyDescent="0.3">
      <c r="A368" t="s">
        <v>399</v>
      </c>
      <c r="B368" s="1">
        <v>43286</v>
      </c>
      <c r="C368" t="s">
        <v>20</v>
      </c>
      <c r="D368" t="s">
        <v>28</v>
      </c>
      <c r="E368">
        <v>11</v>
      </c>
      <c r="F368">
        <v>230</v>
      </c>
      <c r="G368">
        <v>2530</v>
      </c>
      <c r="H368">
        <v>0.12</v>
      </c>
      <c r="I368">
        <v>303.59999999999997</v>
      </c>
      <c r="J368">
        <v>2226</v>
      </c>
      <c r="K368" t="s">
        <v>26</v>
      </c>
    </row>
    <row r="369" spans="1:11" x14ac:dyDescent="0.3">
      <c r="A369" t="s">
        <v>400</v>
      </c>
      <c r="B369" s="1">
        <v>43286</v>
      </c>
      <c r="C369" t="s">
        <v>20</v>
      </c>
      <c r="D369" t="s">
        <v>13</v>
      </c>
      <c r="E369">
        <v>9</v>
      </c>
      <c r="F369">
        <v>230</v>
      </c>
      <c r="G369">
        <v>2070</v>
      </c>
      <c r="H369">
        <v>7.0000000000000007E-2</v>
      </c>
      <c r="I369">
        <v>144.9</v>
      </c>
      <c r="J369">
        <v>1925</v>
      </c>
      <c r="K369" t="s">
        <v>29</v>
      </c>
    </row>
    <row r="370" spans="1:11" x14ac:dyDescent="0.3">
      <c r="A370" t="s">
        <v>401</v>
      </c>
      <c r="B370" s="1">
        <v>43286</v>
      </c>
      <c r="C370" t="s">
        <v>20</v>
      </c>
      <c r="D370" t="s">
        <v>28</v>
      </c>
      <c r="E370">
        <v>16</v>
      </c>
      <c r="F370">
        <v>230</v>
      </c>
      <c r="G370">
        <v>3680</v>
      </c>
      <c r="H370">
        <v>0.11</v>
      </c>
      <c r="I370">
        <v>404.8</v>
      </c>
      <c r="J370">
        <v>3275</v>
      </c>
      <c r="K370" t="s">
        <v>33</v>
      </c>
    </row>
    <row r="371" spans="1:11" x14ac:dyDescent="0.3">
      <c r="A371" t="s">
        <v>402</v>
      </c>
      <c r="B371" s="1">
        <v>43286</v>
      </c>
      <c r="C371" t="s">
        <v>20</v>
      </c>
      <c r="D371" t="s">
        <v>28</v>
      </c>
      <c r="E371">
        <v>18</v>
      </c>
      <c r="F371">
        <v>230</v>
      </c>
      <c r="G371">
        <v>4140</v>
      </c>
      <c r="H371">
        <v>0.01</v>
      </c>
      <c r="I371">
        <v>41.4</v>
      </c>
      <c r="J371">
        <v>4099</v>
      </c>
      <c r="K371" t="s">
        <v>36</v>
      </c>
    </row>
    <row r="372" spans="1:11" x14ac:dyDescent="0.3">
      <c r="A372" t="s">
        <v>403</v>
      </c>
      <c r="B372" s="1">
        <v>43286</v>
      </c>
      <c r="C372" t="s">
        <v>31</v>
      </c>
      <c r="D372" t="s">
        <v>17</v>
      </c>
      <c r="E372">
        <v>15</v>
      </c>
      <c r="F372">
        <v>16</v>
      </c>
      <c r="G372">
        <v>240</v>
      </c>
      <c r="H372">
        <v>0.02</v>
      </c>
      <c r="I372">
        <v>4.8</v>
      </c>
      <c r="J372">
        <v>235</v>
      </c>
      <c r="K372" t="s">
        <v>38</v>
      </c>
    </row>
    <row r="373" spans="1:11" x14ac:dyDescent="0.3">
      <c r="A373" t="s">
        <v>404</v>
      </c>
      <c r="B373" s="1">
        <v>43286</v>
      </c>
      <c r="C373" t="s">
        <v>16</v>
      </c>
      <c r="D373" t="s">
        <v>32</v>
      </c>
      <c r="E373">
        <v>18</v>
      </c>
      <c r="F373">
        <v>40</v>
      </c>
      <c r="G373">
        <v>720</v>
      </c>
      <c r="H373">
        <v>0.06</v>
      </c>
      <c r="I373">
        <v>43.199999999999996</v>
      </c>
      <c r="J373">
        <v>677</v>
      </c>
      <c r="K373" t="s">
        <v>40</v>
      </c>
    </row>
    <row r="374" spans="1:11" x14ac:dyDescent="0.3">
      <c r="A374" t="s">
        <v>405</v>
      </c>
      <c r="B374" s="1">
        <v>43286</v>
      </c>
      <c r="C374" t="s">
        <v>16</v>
      </c>
      <c r="D374" t="s">
        <v>28</v>
      </c>
      <c r="E374">
        <v>18</v>
      </c>
      <c r="F374">
        <v>40</v>
      </c>
      <c r="G374">
        <v>720</v>
      </c>
      <c r="H374">
        <v>0.04</v>
      </c>
      <c r="I374">
        <v>28.8</v>
      </c>
      <c r="J374">
        <v>691</v>
      </c>
      <c r="K374" t="s">
        <v>42</v>
      </c>
    </row>
    <row r="375" spans="1:11" x14ac:dyDescent="0.3">
      <c r="A375" t="s">
        <v>406</v>
      </c>
      <c r="B375" s="1">
        <v>43286</v>
      </c>
      <c r="C375" t="s">
        <v>31</v>
      </c>
      <c r="D375" t="s">
        <v>28</v>
      </c>
      <c r="E375">
        <v>22</v>
      </c>
      <c r="F375">
        <v>16</v>
      </c>
      <c r="G375">
        <v>352</v>
      </c>
      <c r="H375">
        <v>0.03</v>
      </c>
      <c r="I375">
        <v>10.559999999999999</v>
      </c>
      <c r="J375">
        <v>341</v>
      </c>
      <c r="K375" t="s">
        <v>44</v>
      </c>
    </row>
    <row r="376" spans="1:11" x14ac:dyDescent="0.3">
      <c r="A376" t="s">
        <v>407</v>
      </c>
      <c r="B376" s="1">
        <v>43286</v>
      </c>
      <c r="C376" t="s">
        <v>31</v>
      </c>
      <c r="D376" t="s">
        <v>25</v>
      </c>
      <c r="E376">
        <v>12</v>
      </c>
      <c r="F376">
        <v>16</v>
      </c>
      <c r="G376">
        <v>192</v>
      </c>
      <c r="H376">
        <v>0.11</v>
      </c>
      <c r="I376">
        <v>21.12</v>
      </c>
      <c r="J376">
        <v>171</v>
      </c>
      <c r="K376" t="s">
        <v>14</v>
      </c>
    </row>
    <row r="377" spans="1:11" x14ac:dyDescent="0.3">
      <c r="A377" t="s">
        <v>408</v>
      </c>
      <c r="B377" s="1">
        <v>43287</v>
      </c>
      <c r="C377" t="s">
        <v>12</v>
      </c>
      <c r="D377" t="s">
        <v>13</v>
      </c>
      <c r="E377">
        <v>20</v>
      </c>
      <c r="F377">
        <v>80</v>
      </c>
      <c r="G377">
        <v>1600</v>
      </c>
      <c r="H377">
        <v>0.01</v>
      </c>
      <c r="I377">
        <v>16</v>
      </c>
      <c r="J377">
        <v>1584</v>
      </c>
      <c r="K377" t="s">
        <v>18</v>
      </c>
    </row>
    <row r="378" spans="1:11" x14ac:dyDescent="0.3">
      <c r="A378" t="s">
        <v>409</v>
      </c>
      <c r="B378" s="1">
        <v>43287</v>
      </c>
      <c r="C378" t="s">
        <v>20</v>
      </c>
      <c r="D378" t="s">
        <v>25</v>
      </c>
      <c r="E378">
        <v>10</v>
      </c>
      <c r="F378">
        <v>230</v>
      </c>
      <c r="G378">
        <v>2300</v>
      </c>
      <c r="H378">
        <v>0.02</v>
      </c>
      <c r="I378">
        <v>46</v>
      </c>
      <c r="J378">
        <v>2254</v>
      </c>
      <c r="K378" t="s">
        <v>21</v>
      </c>
    </row>
    <row r="379" spans="1:11" x14ac:dyDescent="0.3">
      <c r="A379" t="s">
        <v>410</v>
      </c>
      <c r="B379" s="1">
        <v>43287</v>
      </c>
      <c r="C379" t="s">
        <v>20</v>
      </c>
      <c r="D379" t="s">
        <v>17</v>
      </c>
      <c r="E379">
        <v>9</v>
      </c>
      <c r="F379">
        <v>230</v>
      </c>
      <c r="G379">
        <v>2070</v>
      </c>
      <c r="H379">
        <v>0.03</v>
      </c>
      <c r="I379">
        <v>62.099999999999994</v>
      </c>
      <c r="J379">
        <v>2008</v>
      </c>
      <c r="K379" t="s">
        <v>23</v>
      </c>
    </row>
    <row r="380" spans="1:11" x14ac:dyDescent="0.3">
      <c r="A380" t="s">
        <v>411</v>
      </c>
      <c r="B380" s="1">
        <v>43287</v>
      </c>
      <c r="C380" t="s">
        <v>12</v>
      </c>
      <c r="D380" t="s">
        <v>17</v>
      </c>
      <c r="E380">
        <v>17</v>
      </c>
      <c r="F380">
        <v>80</v>
      </c>
      <c r="G380">
        <v>1360</v>
      </c>
      <c r="H380">
        <v>0.03</v>
      </c>
      <c r="I380">
        <v>40.799999999999997</v>
      </c>
      <c r="J380">
        <v>1319</v>
      </c>
      <c r="K380" t="s">
        <v>26</v>
      </c>
    </row>
    <row r="381" spans="1:11" x14ac:dyDescent="0.3">
      <c r="A381" t="s">
        <v>412</v>
      </c>
      <c r="B381" s="1">
        <v>43287</v>
      </c>
      <c r="C381" t="s">
        <v>16</v>
      </c>
      <c r="D381" t="s">
        <v>32</v>
      </c>
      <c r="E381">
        <v>4</v>
      </c>
      <c r="F381">
        <v>40</v>
      </c>
      <c r="G381">
        <v>160</v>
      </c>
      <c r="H381">
        <v>0.09</v>
      </c>
      <c r="I381">
        <v>14.399999999999999</v>
      </c>
      <c r="J381">
        <v>146</v>
      </c>
      <c r="K381" t="s">
        <v>29</v>
      </c>
    </row>
    <row r="382" spans="1:11" x14ac:dyDescent="0.3">
      <c r="A382" t="s">
        <v>413</v>
      </c>
      <c r="B382" s="1">
        <v>43287</v>
      </c>
      <c r="C382" t="s">
        <v>35</v>
      </c>
      <c r="D382" t="s">
        <v>17</v>
      </c>
      <c r="E382">
        <v>16</v>
      </c>
      <c r="F382">
        <v>150</v>
      </c>
      <c r="G382">
        <v>2400</v>
      </c>
      <c r="H382">
        <v>0.03</v>
      </c>
      <c r="I382">
        <v>72</v>
      </c>
      <c r="J382">
        <v>2328</v>
      </c>
      <c r="K382" t="s">
        <v>33</v>
      </c>
    </row>
    <row r="383" spans="1:11" x14ac:dyDescent="0.3">
      <c r="A383" t="s">
        <v>414</v>
      </c>
      <c r="B383" s="1">
        <v>43287</v>
      </c>
      <c r="C383" t="s">
        <v>12</v>
      </c>
      <c r="D383" t="s">
        <v>25</v>
      </c>
      <c r="E383">
        <v>8</v>
      </c>
      <c r="F383">
        <v>80</v>
      </c>
      <c r="G383">
        <v>640</v>
      </c>
      <c r="H383">
        <v>0.02</v>
      </c>
      <c r="I383">
        <v>12.8</v>
      </c>
      <c r="J383">
        <v>627</v>
      </c>
      <c r="K383" t="s">
        <v>36</v>
      </c>
    </row>
    <row r="384" spans="1:11" x14ac:dyDescent="0.3">
      <c r="A384" t="s">
        <v>415</v>
      </c>
      <c r="B384" s="1">
        <v>43287</v>
      </c>
      <c r="C384" t="s">
        <v>16</v>
      </c>
      <c r="D384" t="s">
        <v>28</v>
      </c>
      <c r="E384">
        <v>23</v>
      </c>
      <c r="F384">
        <v>40</v>
      </c>
      <c r="G384">
        <v>920</v>
      </c>
      <c r="H384">
        <v>0.06</v>
      </c>
      <c r="I384">
        <v>55.199999999999996</v>
      </c>
      <c r="J384">
        <v>865</v>
      </c>
      <c r="K384" t="s">
        <v>38</v>
      </c>
    </row>
    <row r="385" spans="1:11" x14ac:dyDescent="0.3">
      <c r="A385" t="s">
        <v>416</v>
      </c>
      <c r="B385" s="1">
        <v>43288</v>
      </c>
      <c r="C385" t="s">
        <v>35</v>
      </c>
      <c r="D385" t="s">
        <v>28</v>
      </c>
      <c r="E385">
        <v>20</v>
      </c>
      <c r="F385">
        <v>150</v>
      </c>
      <c r="G385">
        <v>3000</v>
      </c>
      <c r="H385">
        <v>0.1</v>
      </c>
      <c r="I385">
        <v>300</v>
      </c>
      <c r="J385">
        <v>2700</v>
      </c>
      <c r="K385" t="s">
        <v>40</v>
      </c>
    </row>
    <row r="386" spans="1:11" x14ac:dyDescent="0.3">
      <c r="A386" t="s">
        <v>417</v>
      </c>
      <c r="B386" s="1">
        <v>43288</v>
      </c>
      <c r="C386" t="s">
        <v>20</v>
      </c>
      <c r="D386" t="s">
        <v>32</v>
      </c>
      <c r="E386">
        <v>22</v>
      </c>
      <c r="F386">
        <v>230</v>
      </c>
      <c r="G386">
        <v>5060</v>
      </c>
      <c r="H386">
        <v>0.1</v>
      </c>
      <c r="I386">
        <v>506</v>
      </c>
      <c r="J386">
        <v>4554</v>
      </c>
      <c r="K386" t="s">
        <v>42</v>
      </c>
    </row>
    <row r="387" spans="1:11" x14ac:dyDescent="0.3">
      <c r="A387" t="s">
        <v>418</v>
      </c>
      <c r="B387" s="1">
        <v>43288</v>
      </c>
      <c r="C387" t="s">
        <v>20</v>
      </c>
      <c r="D387" t="s">
        <v>17</v>
      </c>
      <c r="E387">
        <v>6</v>
      </c>
      <c r="F387">
        <v>230</v>
      </c>
      <c r="G387">
        <v>1380</v>
      </c>
      <c r="H387">
        <v>0.1</v>
      </c>
      <c r="I387">
        <v>138</v>
      </c>
      <c r="J387">
        <v>1242</v>
      </c>
      <c r="K387" t="s">
        <v>44</v>
      </c>
    </row>
    <row r="388" spans="1:11" x14ac:dyDescent="0.3">
      <c r="A388" t="s">
        <v>419</v>
      </c>
      <c r="B388" s="1">
        <v>43288</v>
      </c>
      <c r="C388" t="s">
        <v>12</v>
      </c>
      <c r="D388" t="s">
        <v>28</v>
      </c>
      <c r="E388">
        <v>10</v>
      </c>
      <c r="F388">
        <v>80</v>
      </c>
      <c r="G388">
        <v>800</v>
      </c>
      <c r="H388">
        <v>0.1</v>
      </c>
      <c r="I388">
        <v>80</v>
      </c>
      <c r="J388">
        <v>720</v>
      </c>
      <c r="K388" t="s">
        <v>14</v>
      </c>
    </row>
    <row r="389" spans="1:11" x14ac:dyDescent="0.3">
      <c r="A389" t="s">
        <v>420</v>
      </c>
      <c r="B389" s="1">
        <v>43288</v>
      </c>
      <c r="C389" t="s">
        <v>20</v>
      </c>
      <c r="D389" t="s">
        <v>32</v>
      </c>
      <c r="E389">
        <v>21</v>
      </c>
      <c r="F389">
        <v>230</v>
      </c>
      <c r="G389">
        <v>4830</v>
      </c>
      <c r="H389">
        <v>0.05</v>
      </c>
      <c r="I389">
        <v>241.5</v>
      </c>
      <c r="J389">
        <v>4588</v>
      </c>
      <c r="K389" t="s">
        <v>18</v>
      </c>
    </row>
    <row r="390" spans="1:11" x14ac:dyDescent="0.3">
      <c r="A390" t="s">
        <v>421</v>
      </c>
      <c r="B390" s="1">
        <v>43288</v>
      </c>
      <c r="C390" t="s">
        <v>20</v>
      </c>
      <c r="D390" t="s">
        <v>13</v>
      </c>
      <c r="E390">
        <v>20</v>
      </c>
      <c r="F390">
        <v>230</v>
      </c>
      <c r="G390">
        <v>4600</v>
      </c>
      <c r="H390">
        <v>0.04</v>
      </c>
      <c r="I390">
        <v>184</v>
      </c>
      <c r="J390">
        <v>4416</v>
      </c>
      <c r="K390" t="s">
        <v>21</v>
      </c>
    </row>
    <row r="391" spans="1:11" x14ac:dyDescent="0.3">
      <c r="A391" t="s">
        <v>422</v>
      </c>
      <c r="B391" s="1">
        <v>43288</v>
      </c>
      <c r="C391" t="s">
        <v>12</v>
      </c>
      <c r="D391" t="s">
        <v>25</v>
      </c>
      <c r="E391">
        <v>20</v>
      </c>
      <c r="F391">
        <v>80</v>
      </c>
      <c r="G391">
        <v>1600</v>
      </c>
      <c r="H391">
        <v>7.0000000000000007E-2</v>
      </c>
      <c r="I391">
        <v>112.00000000000001</v>
      </c>
      <c r="J391">
        <v>1488</v>
      </c>
      <c r="K391" t="s">
        <v>23</v>
      </c>
    </row>
    <row r="392" spans="1:11" x14ac:dyDescent="0.3">
      <c r="A392" t="s">
        <v>423</v>
      </c>
      <c r="B392" s="1">
        <v>43288</v>
      </c>
      <c r="C392" t="s">
        <v>12</v>
      </c>
      <c r="D392" t="s">
        <v>25</v>
      </c>
      <c r="E392">
        <v>7</v>
      </c>
      <c r="F392">
        <v>80</v>
      </c>
      <c r="G392">
        <v>560</v>
      </c>
      <c r="H392">
        <v>0.05</v>
      </c>
      <c r="I392">
        <v>28</v>
      </c>
      <c r="J392">
        <v>532</v>
      </c>
      <c r="K392" t="s">
        <v>26</v>
      </c>
    </row>
    <row r="393" spans="1:11" x14ac:dyDescent="0.3">
      <c r="A393" t="s">
        <v>424</v>
      </c>
      <c r="B393" s="1">
        <v>43288</v>
      </c>
      <c r="C393" t="s">
        <v>12</v>
      </c>
      <c r="D393" t="s">
        <v>13</v>
      </c>
      <c r="E393">
        <v>8</v>
      </c>
      <c r="F393">
        <v>80</v>
      </c>
      <c r="G393">
        <v>640</v>
      </c>
      <c r="H393">
        <v>0.09</v>
      </c>
      <c r="I393">
        <v>57.599999999999994</v>
      </c>
      <c r="J393">
        <v>582</v>
      </c>
      <c r="K393" t="s">
        <v>29</v>
      </c>
    </row>
    <row r="394" spans="1:11" x14ac:dyDescent="0.3">
      <c r="A394" t="s">
        <v>425</v>
      </c>
      <c r="B394" s="1">
        <v>43288</v>
      </c>
      <c r="C394" t="s">
        <v>12</v>
      </c>
      <c r="D394" t="s">
        <v>17</v>
      </c>
      <c r="E394">
        <v>3</v>
      </c>
      <c r="F394">
        <v>80</v>
      </c>
      <c r="G394">
        <v>240</v>
      </c>
      <c r="H394">
        <v>0.02</v>
      </c>
      <c r="I394">
        <v>4.8</v>
      </c>
      <c r="J394">
        <v>235</v>
      </c>
      <c r="K394" t="s">
        <v>33</v>
      </c>
    </row>
    <row r="395" spans="1:11" x14ac:dyDescent="0.3">
      <c r="A395" t="s">
        <v>426</v>
      </c>
      <c r="B395" s="1">
        <v>43288</v>
      </c>
      <c r="C395" t="s">
        <v>12</v>
      </c>
      <c r="D395" t="s">
        <v>28</v>
      </c>
      <c r="E395">
        <v>8</v>
      </c>
      <c r="F395">
        <v>80</v>
      </c>
      <c r="G395">
        <v>640</v>
      </c>
      <c r="H395">
        <v>0.06</v>
      </c>
      <c r="I395">
        <v>38.4</v>
      </c>
      <c r="J395">
        <v>602</v>
      </c>
      <c r="K395" t="s">
        <v>36</v>
      </c>
    </row>
    <row r="396" spans="1:11" x14ac:dyDescent="0.3">
      <c r="A396" t="s">
        <v>427</v>
      </c>
      <c r="B396" s="1">
        <v>43288</v>
      </c>
      <c r="C396" t="s">
        <v>35</v>
      </c>
      <c r="D396" t="s">
        <v>32</v>
      </c>
      <c r="E396">
        <v>13</v>
      </c>
      <c r="F396">
        <v>150</v>
      </c>
      <c r="G396">
        <v>1950</v>
      </c>
      <c r="H396">
        <v>0.11</v>
      </c>
      <c r="I396">
        <v>214.5</v>
      </c>
      <c r="J396">
        <v>1736</v>
      </c>
      <c r="K396" t="s">
        <v>38</v>
      </c>
    </row>
    <row r="397" spans="1:11" x14ac:dyDescent="0.3">
      <c r="A397" t="s">
        <v>428</v>
      </c>
      <c r="B397" s="1">
        <v>43288</v>
      </c>
      <c r="C397" t="s">
        <v>12</v>
      </c>
      <c r="D397" t="s">
        <v>28</v>
      </c>
      <c r="E397">
        <v>15</v>
      </c>
      <c r="F397">
        <v>80</v>
      </c>
      <c r="G397">
        <v>1200</v>
      </c>
      <c r="H397">
        <v>0.08</v>
      </c>
      <c r="I397">
        <v>96</v>
      </c>
      <c r="J397">
        <v>1104</v>
      </c>
      <c r="K397" t="s">
        <v>40</v>
      </c>
    </row>
    <row r="398" spans="1:11" x14ac:dyDescent="0.3">
      <c r="A398" t="s">
        <v>429</v>
      </c>
      <c r="B398" s="1">
        <v>43288</v>
      </c>
      <c r="C398" t="s">
        <v>35</v>
      </c>
      <c r="D398" t="s">
        <v>32</v>
      </c>
      <c r="E398">
        <v>7</v>
      </c>
      <c r="F398">
        <v>150</v>
      </c>
      <c r="G398">
        <v>1050</v>
      </c>
      <c r="H398">
        <v>0.02</v>
      </c>
      <c r="I398">
        <v>21</v>
      </c>
      <c r="J398">
        <v>1029</v>
      </c>
      <c r="K398" t="s">
        <v>42</v>
      </c>
    </row>
    <row r="399" spans="1:11" x14ac:dyDescent="0.3">
      <c r="A399" t="s">
        <v>430</v>
      </c>
      <c r="B399" s="1">
        <v>43288</v>
      </c>
      <c r="C399" t="s">
        <v>16</v>
      </c>
      <c r="D399" t="s">
        <v>25</v>
      </c>
      <c r="E399">
        <v>6</v>
      </c>
      <c r="F399">
        <v>40</v>
      </c>
      <c r="G399">
        <v>240</v>
      </c>
      <c r="H399">
        <v>0.06</v>
      </c>
      <c r="I399">
        <v>14.399999999999999</v>
      </c>
      <c r="J399">
        <v>226</v>
      </c>
      <c r="K399" t="s">
        <v>44</v>
      </c>
    </row>
    <row r="400" spans="1:11" x14ac:dyDescent="0.3">
      <c r="A400" t="s">
        <v>431</v>
      </c>
      <c r="B400" s="1">
        <v>43288</v>
      </c>
      <c r="C400" t="s">
        <v>12</v>
      </c>
      <c r="D400" t="s">
        <v>28</v>
      </c>
      <c r="E400">
        <v>23</v>
      </c>
      <c r="F400">
        <v>80</v>
      </c>
      <c r="G400">
        <v>1840</v>
      </c>
      <c r="H400">
        <v>0.11</v>
      </c>
      <c r="I400">
        <v>202.4</v>
      </c>
      <c r="J400">
        <v>1638</v>
      </c>
      <c r="K400" t="s">
        <v>14</v>
      </c>
    </row>
    <row r="401" spans="1:11" x14ac:dyDescent="0.3">
      <c r="A401" t="s">
        <v>432</v>
      </c>
      <c r="B401" s="1">
        <v>43288</v>
      </c>
      <c r="C401" t="s">
        <v>20</v>
      </c>
      <c r="D401" t="s">
        <v>25</v>
      </c>
      <c r="E401">
        <v>18</v>
      </c>
      <c r="F401">
        <v>230</v>
      </c>
      <c r="G401">
        <v>4140</v>
      </c>
      <c r="H401">
        <v>0.01</v>
      </c>
      <c r="I401">
        <v>41.4</v>
      </c>
      <c r="J401">
        <v>4099</v>
      </c>
      <c r="K401" t="s">
        <v>18</v>
      </c>
    </row>
    <row r="402" spans="1:11" x14ac:dyDescent="0.3">
      <c r="A402" t="s">
        <v>433</v>
      </c>
      <c r="B402" s="1">
        <v>43289</v>
      </c>
      <c r="C402" t="s">
        <v>12</v>
      </c>
      <c r="D402" t="s">
        <v>32</v>
      </c>
      <c r="E402">
        <v>21</v>
      </c>
      <c r="F402">
        <v>80</v>
      </c>
      <c r="G402">
        <v>1680</v>
      </c>
      <c r="H402">
        <v>0.09</v>
      </c>
      <c r="I402">
        <v>151.19999999999999</v>
      </c>
      <c r="J402">
        <v>1529</v>
      </c>
      <c r="K402" t="s">
        <v>21</v>
      </c>
    </row>
    <row r="403" spans="1:11" x14ac:dyDescent="0.3">
      <c r="A403" t="s">
        <v>434</v>
      </c>
      <c r="B403" s="1">
        <v>43289</v>
      </c>
      <c r="C403" t="s">
        <v>16</v>
      </c>
      <c r="D403" t="s">
        <v>25</v>
      </c>
      <c r="E403">
        <v>13</v>
      </c>
      <c r="F403">
        <v>40</v>
      </c>
      <c r="G403">
        <v>520</v>
      </c>
      <c r="H403">
        <v>0.02</v>
      </c>
      <c r="I403">
        <v>10.4</v>
      </c>
      <c r="J403">
        <v>510</v>
      </c>
      <c r="K403" t="s">
        <v>23</v>
      </c>
    </row>
    <row r="404" spans="1:11" x14ac:dyDescent="0.3">
      <c r="A404" t="s">
        <v>435</v>
      </c>
      <c r="B404" s="1">
        <v>43289</v>
      </c>
      <c r="C404" t="s">
        <v>12</v>
      </c>
      <c r="D404" t="s">
        <v>25</v>
      </c>
      <c r="E404">
        <v>23</v>
      </c>
      <c r="F404">
        <v>80</v>
      </c>
      <c r="G404">
        <v>1840</v>
      </c>
      <c r="H404">
        <v>0.05</v>
      </c>
      <c r="I404">
        <v>92</v>
      </c>
      <c r="J404">
        <v>1748</v>
      </c>
      <c r="K404" t="s">
        <v>26</v>
      </c>
    </row>
    <row r="405" spans="1:11" x14ac:dyDescent="0.3">
      <c r="A405" t="s">
        <v>436</v>
      </c>
      <c r="B405" s="1">
        <v>43289</v>
      </c>
      <c r="C405" t="s">
        <v>35</v>
      </c>
      <c r="D405" t="s">
        <v>28</v>
      </c>
      <c r="E405">
        <v>15</v>
      </c>
      <c r="F405">
        <v>150</v>
      </c>
      <c r="G405">
        <v>2250</v>
      </c>
      <c r="H405">
        <v>0.05</v>
      </c>
      <c r="I405">
        <v>112.5</v>
      </c>
      <c r="J405">
        <v>2138</v>
      </c>
      <c r="K405" t="s">
        <v>29</v>
      </c>
    </row>
    <row r="406" spans="1:11" x14ac:dyDescent="0.3">
      <c r="A406" t="s">
        <v>437</v>
      </c>
      <c r="B406" s="1">
        <v>43289</v>
      </c>
      <c r="C406" t="s">
        <v>16</v>
      </c>
      <c r="D406" t="s">
        <v>13</v>
      </c>
      <c r="E406">
        <v>5</v>
      </c>
      <c r="F406">
        <v>40</v>
      </c>
      <c r="G406">
        <v>200</v>
      </c>
      <c r="H406">
        <v>0.09</v>
      </c>
      <c r="I406">
        <v>18</v>
      </c>
      <c r="J406">
        <v>182</v>
      </c>
      <c r="K406" t="s">
        <v>33</v>
      </c>
    </row>
    <row r="407" spans="1:11" x14ac:dyDescent="0.3">
      <c r="A407" t="s">
        <v>438</v>
      </c>
      <c r="B407" s="1">
        <v>43289</v>
      </c>
      <c r="C407" t="s">
        <v>31</v>
      </c>
      <c r="D407" t="s">
        <v>28</v>
      </c>
      <c r="E407">
        <v>10</v>
      </c>
      <c r="F407">
        <v>16</v>
      </c>
      <c r="G407">
        <v>160</v>
      </c>
      <c r="H407">
        <v>0.01</v>
      </c>
      <c r="I407">
        <v>1.6</v>
      </c>
      <c r="J407">
        <v>158</v>
      </c>
      <c r="K407" t="s">
        <v>36</v>
      </c>
    </row>
    <row r="408" spans="1:11" x14ac:dyDescent="0.3">
      <c r="A408" t="s">
        <v>439</v>
      </c>
      <c r="B408" s="1">
        <v>43289</v>
      </c>
      <c r="C408" t="s">
        <v>20</v>
      </c>
      <c r="D408" t="s">
        <v>25</v>
      </c>
      <c r="E408">
        <v>2</v>
      </c>
      <c r="F408">
        <v>230</v>
      </c>
      <c r="G408">
        <v>460</v>
      </c>
      <c r="H408">
        <v>0.09</v>
      </c>
      <c r="I408">
        <v>41.4</v>
      </c>
      <c r="J408">
        <v>419</v>
      </c>
      <c r="K408" t="s">
        <v>38</v>
      </c>
    </row>
    <row r="409" spans="1:11" x14ac:dyDescent="0.3">
      <c r="A409" t="s">
        <v>440</v>
      </c>
      <c r="B409" s="1">
        <v>43289</v>
      </c>
      <c r="C409" t="s">
        <v>12</v>
      </c>
      <c r="D409" t="s">
        <v>28</v>
      </c>
      <c r="E409">
        <v>7</v>
      </c>
      <c r="F409">
        <v>80</v>
      </c>
      <c r="G409">
        <v>560</v>
      </c>
      <c r="H409">
        <v>0.02</v>
      </c>
      <c r="I409">
        <v>11.200000000000001</v>
      </c>
      <c r="J409">
        <v>549</v>
      </c>
      <c r="K409" t="s">
        <v>40</v>
      </c>
    </row>
    <row r="410" spans="1:11" x14ac:dyDescent="0.3">
      <c r="A410" t="s">
        <v>441</v>
      </c>
      <c r="B410" s="1">
        <v>43289</v>
      </c>
      <c r="C410" t="s">
        <v>35</v>
      </c>
      <c r="D410" t="s">
        <v>28</v>
      </c>
      <c r="E410">
        <v>22</v>
      </c>
      <c r="F410">
        <v>150</v>
      </c>
      <c r="G410">
        <v>3300</v>
      </c>
      <c r="H410">
        <v>0.05</v>
      </c>
      <c r="I410">
        <v>165</v>
      </c>
      <c r="J410">
        <v>3135</v>
      </c>
      <c r="K410" t="s">
        <v>42</v>
      </c>
    </row>
    <row r="411" spans="1:11" x14ac:dyDescent="0.3">
      <c r="A411" t="s">
        <v>442</v>
      </c>
      <c r="B411" s="1">
        <v>43289</v>
      </c>
      <c r="C411" t="s">
        <v>16</v>
      </c>
      <c r="D411" t="s">
        <v>32</v>
      </c>
      <c r="E411">
        <v>17</v>
      </c>
      <c r="F411">
        <v>40</v>
      </c>
      <c r="G411">
        <v>680</v>
      </c>
      <c r="H411">
        <v>0.02</v>
      </c>
      <c r="I411">
        <v>13.6</v>
      </c>
      <c r="J411">
        <v>666</v>
      </c>
      <c r="K411" t="s">
        <v>44</v>
      </c>
    </row>
    <row r="412" spans="1:11" x14ac:dyDescent="0.3">
      <c r="A412" t="s">
        <v>443</v>
      </c>
      <c r="B412" s="1">
        <v>43289</v>
      </c>
      <c r="C412" t="s">
        <v>31</v>
      </c>
      <c r="D412" t="s">
        <v>13</v>
      </c>
      <c r="E412">
        <v>22</v>
      </c>
      <c r="F412">
        <v>16</v>
      </c>
      <c r="G412">
        <v>352</v>
      </c>
      <c r="H412">
        <v>0.06</v>
      </c>
      <c r="I412">
        <v>21.119999999999997</v>
      </c>
      <c r="J412">
        <v>331</v>
      </c>
      <c r="K412" t="s">
        <v>14</v>
      </c>
    </row>
    <row r="413" spans="1:11" x14ac:dyDescent="0.3">
      <c r="A413" t="s">
        <v>444</v>
      </c>
      <c r="B413" s="1">
        <v>43289</v>
      </c>
      <c r="C413" t="s">
        <v>31</v>
      </c>
      <c r="D413" t="s">
        <v>32</v>
      </c>
      <c r="E413">
        <v>3</v>
      </c>
      <c r="F413">
        <v>16</v>
      </c>
      <c r="G413">
        <v>48</v>
      </c>
      <c r="H413">
        <v>0.03</v>
      </c>
      <c r="I413">
        <v>1.44</v>
      </c>
      <c r="J413">
        <v>47</v>
      </c>
      <c r="K413" t="s">
        <v>18</v>
      </c>
    </row>
    <row r="414" spans="1:11" x14ac:dyDescent="0.3">
      <c r="A414" t="s">
        <v>445</v>
      </c>
      <c r="B414" s="1">
        <v>43289</v>
      </c>
      <c r="C414" t="s">
        <v>20</v>
      </c>
      <c r="D414" t="s">
        <v>32</v>
      </c>
      <c r="E414">
        <v>2</v>
      </c>
      <c r="F414">
        <v>230</v>
      </c>
      <c r="G414">
        <v>460</v>
      </c>
      <c r="H414">
        <v>0.08</v>
      </c>
      <c r="I414">
        <v>36.800000000000004</v>
      </c>
      <c r="J414">
        <v>423</v>
      </c>
      <c r="K414" t="s">
        <v>21</v>
      </c>
    </row>
    <row r="415" spans="1:11" x14ac:dyDescent="0.3">
      <c r="A415" t="s">
        <v>446</v>
      </c>
      <c r="B415" s="1">
        <v>43289</v>
      </c>
      <c r="C415" t="s">
        <v>31</v>
      </c>
      <c r="D415" t="s">
        <v>13</v>
      </c>
      <c r="E415">
        <v>21</v>
      </c>
      <c r="F415">
        <v>16</v>
      </c>
      <c r="G415">
        <v>336</v>
      </c>
      <c r="H415">
        <v>0.09</v>
      </c>
      <c r="I415">
        <v>30.24</v>
      </c>
      <c r="J415">
        <v>306</v>
      </c>
      <c r="K415" t="s">
        <v>23</v>
      </c>
    </row>
    <row r="416" spans="1:11" x14ac:dyDescent="0.3">
      <c r="A416" t="s">
        <v>447</v>
      </c>
      <c r="B416" s="1">
        <v>43289</v>
      </c>
      <c r="C416" t="s">
        <v>12</v>
      </c>
      <c r="D416" t="s">
        <v>28</v>
      </c>
      <c r="E416">
        <v>7</v>
      </c>
      <c r="F416">
        <v>80</v>
      </c>
      <c r="G416">
        <v>560</v>
      </c>
      <c r="H416">
        <v>7.0000000000000007E-2</v>
      </c>
      <c r="I416">
        <v>39.200000000000003</v>
      </c>
      <c r="J416">
        <v>521</v>
      </c>
      <c r="K416" t="s">
        <v>26</v>
      </c>
    </row>
    <row r="417" spans="1:11" x14ac:dyDescent="0.3">
      <c r="A417" t="s">
        <v>448</v>
      </c>
      <c r="B417" s="1">
        <v>43289</v>
      </c>
      <c r="C417" t="s">
        <v>35</v>
      </c>
      <c r="D417" t="s">
        <v>17</v>
      </c>
      <c r="E417">
        <v>23</v>
      </c>
      <c r="F417">
        <v>150</v>
      </c>
      <c r="G417">
        <v>3450</v>
      </c>
      <c r="H417">
        <v>0.11</v>
      </c>
      <c r="I417">
        <v>379.5</v>
      </c>
      <c r="J417">
        <v>3070</v>
      </c>
      <c r="K417" t="s">
        <v>29</v>
      </c>
    </row>
    <row r="418" spans="1:11" x14ac:dyDescent="0.3">
      <c r="A418" t="s">
        <v>449</v>
      </c>
      <c r="B418" s="1">
        <v>43290</v>
      </c>
      <c r="C418" t="s">
        <v>35</v>
      </c>
      <c r="D418" t="s">
        <v>13</v>
      </c>
      <c r="E418">
        <v>11</v>
      </c>
      <c r="F418">
        <v>150</v>
      </c>
      <c r="G418">
        <v>1650</v>
      </c>
      <c r="H418">
        <v>0.05</v>
      </c>
      <c r="I418">
        <v>82.5</v>
      </c>
      <c r="J418">
        <v>1568</v>
      </c>
      <c r="K418" t="s">
        <v>33</v>
      </c>
    </row>
    <row r="419" spans="1:11" x14ac:dyDescent="0.3">
      <c r="A419" t="s">
        <v>450</v>
      </c>
      <c r="B419" s="1">
        <v>43290</v>
      </c>
      <c r="C419" t="s">
        <v>12</v>
      </c>
      <c r="D419" t="s">
        <v>32</v>
      </c>
      <c r="E419">
        <v>16</v>
      </c>
      <c r="F419">
        <v>80</v>
      </c>
      <c r="G419">
        <v>1280</v>
      </c>
      <c r="H419">
        <v>0.05</v>
      </c>
      <c r="I419">
        <v>64</v>
      </c>
      <c r="J419">
        <v>1216</v>
      </c>
      <c r="K419" t="s">
        <v>36</v>
      </c>
    </row>
    <row r="420" spans="1:11" x14ac:dyDescent="0.3">
      <c r="A420" t="s">
        <v>451</v>
      </c>
      <c r="B420" s="1">
        <v>43290</v>
      </c>
      <c r="C420" t="s">
        <v>20</v>
      </c>
      <c r="D420" t="s">
        <v>25</v>
      </c>
      <c r="E420">
        <v>5</v>
      </c>
      <c r="F420">
        <v>230</v>
      </c>
      <c r="G420">
        <v>1150</v>
      </c>
      <c r="H420">
        <v>0.1</v>
      </c>
      <c r="I420">
        <v>115</v>
      </c>
      <c r="J420">
        <v>1035</v>
      </c>
      <c r="K420" t="s">
        <v>38</v>
      </c>
    </row>
    <row r="421" spans="1:11" x14ac:dyDescent="0.3">
      <c r="A421" t="s">
        <v>452</v>
      </c>
      <c r="B421" s="1">
        <v>43290</v>
      </c>
      <c r="C421" t="s">
        <v>31</v>
      </c>
      <c r="D421" t="s">
        <v>13</v>
      </c>
      <c r="E421">
        <v>22</v>
      </c>
      <c r="F421">
        <v>16</v>
      </c>
      <c r="G421">
        <v>352</v>
      </c>
      <c r="H421">
        <v>0.01</v>
      </c>
      <c r="I421">
        <v>3.52</v>
      </c>
      <c r="J421">
        <v>348</v>
      </c>
      <c r="K421" t="s">
        <v>40</v>
      </c>
    </row>
    <row r="422" spans="1:11" x14ac:dyDescent="0.3">
      <c r="A422" t="s">
        <v>453</v>
      </c>
      <c r="B422" s="1">
        <v>43290</v>
      </c>
      <c r="C422" t="s">
        <v>16</v>
      </c>
      <c r="D422" t="s">
        <v>32</v>
      </c>
      <c r="E422">
        <v>7</v>
      </c>
      <c r="F422">
        <v>40</v>
      </c>
      <c r="G422">
        <v>280</v>
      </c>
      <c r="H422">
        <v>0.12</v>
      </c>
      <c r="I422">
        <v>33.6</v>
      </c>
      <c r="J422">
        <v>246</v>
      </c>
      <c r="K422" t="s">
        <v>14</v>
      </c>
    </row>
    <row r="423" spans="1:11" x14ac:dyDescent="0.3">
      <c r="A423" t="s">
        <v>454</v>
      </c>
      <c r="B423" s="1">
        <v>43290</v>
      </c>
      <c r="C423" t="s">
        <v>12</v>
      </c>
      <c r="D423" t="s">
        <v>17</v>
      </c>
      <c r="E423">
        <v>2</v>
      </c>
      <c r="F423">
        <v>80</v>
      </c>
      <c r="G423">
        <v>160</v>
      </c>
      <c r="H423">
        <v>0.04</v>
      </c>
      <c r="I423">
        <v>6.4</v>
      </c>
      <c r="J423">
        <v>154</v>
      </c>
      <c r="K423" t="s">
        <v>18</v>
      </c>
    </row>
    <row r="424" spans="1:11" x14ac:dyDescent="0.3">
      <c r="A424" t="s">
        <v>455</v>
      </c>
      <c r="B424" s="1">
        <v>43290</v>
      </c>
      <c r="C424" t="s">
        <v>16</v>
      </c>
      <c r="D424" t="s">
        <v>28</v>
      </c>
      <c r="E424">
        <v>6</v>
      </c>
      <c r="F424">
        <v>40</v>
      </c>
      <c r="G424">
        <v>240</v>
      </c>
      <c r="H424">
        <v>7.0000000000000007E-2</v>
      </c>
      <c r="I424">
        <v>16.8</v>
      </c>
      <c r="J424">
        <v>223</v>
      </c>
      <c r="K424" t="s">
        <v>21</v>
      </c>
    </row>
    <row r="425" spans="1:11" x14ac:dyDescent="0.3">
      <c r="A425" t="s">
        <v>456</v>
      </c>
      <c r="B425" s="1">
        <v>43290</v>
      </c>
      <c r="C425" t="s">
        <v>12</v>
      </c>
      <c r="D425" t="s">
        <v>25</v>
      </c>
      <c r="E425">
        <v>6</v>
      </c>
      <c r="F425">
        <v>80</v>
      </c>
      <c r="G425">
        <v>480</v>
      </c>
      <c r="H425">
        <v>0.01</v>
      </c>
      <c r="I425">
        <v>4.8</v>
      </c>
      <c r="J425">
        <v>475</v>
      </c>
      <c r="K425" t="s">
        <v>23</v>
      </c>
    </row>
    <row r="426" spans="1:11" x14ac:dyDescent="0.3">
      <c r="A426" t="s">
        <v>457</v>
      </c>
      <c r="B426" s="1">
        <v>43290</v>
      </c>
      <c r="C426" t="s">
        <v>31</v>
      </c>
      <c r="D426" t="s">
        <v>17</v>
      </c>
      <c r="E426">
        <v>22</v>
      </c>
      <c r="F426">
        <v>16</v>
      </c>
      <c r="G426">
        <v>352</v>
      </c>
      <c r="H426">
        <v>0.01</v>
      </c>
      <c r="I426">
        <v>3.52</v>
      </c>
      <c r="J426">
        <v>348</v>
      </c>
      <c r="K426" t="s">
        <v>26</v>
      </c>
    </row>
    <row r="427" spans="1:11" x14ac:dyDescent="0.3">
      <c r="A427" t="s">
        <v>458</v>
      </c>
      <c r="B427" s="1">
        <v>43290</v>
      </c>
      <c r="C427" t="s">
        <v>20</v>
      </c>
      <c r="D427" t="s">
        <v>28</v>
      </c>
      <c r="E427">
        <v>7</v>
      </c>
      <c r="F427">
        <v>230</v>
      </c>
      <c r="G427">
        <v>1610</v>
      </c>
      <c r="H427">
        <v>0.06</v>
      </c>
      <c r="I427">
        <v>96.6</v>
      </c>
      <c r="J427">
        <v>1513</v>
      </c>
      <c r="K427" t="s">
        <v>29</v>
      </c>
    </row>
    <row r="428" spans="1:11" x14ac:dyDescent="0.3">
      <c r="A428" t="s">
        <v>459</v>
      </c>
      <c r="B428" s="1">
        <v>43291</v>
      </c>
      <c r="C428" t="s">
        <v>31</v>
      </c>
      <c r="D428" t="s">
        <v>28</v>
      </c>
      <c r="E428">
        <v>22</v>
      </c>
      <c r="F428">
        <v>16</v>
      </c>
      <c r="G428">
        <v>352</v>
      </c>
      <c r="H428">
        <v>0.03</v>
      </c>
      <c r="I428">
        <v>10.559999999999999</v>
      </c>
      <c r="J428">
        <v>341</v>
      </c>
      <c r="K428" t="s">
        <v>33</v>
      </c>
    </row>
    <row r="429" spans="1:11" x14ac:dyDescent="0.3">
      <c r="A429" t="s">
        <v>460</v>
      </c>
      <c r="B429" s="1">
        <v>43291</v>
      </c>
      <c r="C429" t="s">
        <v>16</v>
      </c>
      <c r="D429" t="s">
        <v>32</v>
      </c>
      <c r="E429">
        <v>20</v>
      </c>
      <c r="F429">
        <v>40</v>
      </c>
      <c r="G429">
        <v>800</v>
      </c>
      <c r="H429">
        <v>0.05</v>
      </c>
      <c r="I429">
        <v>40</v>
      </c>
      <c r="J429">
        <v>760</v>
      </c>
      <c r="K429" t="s">
        <v>36</v>
      </c>
    </row>
    <row r="430" spans="1:11" x14ac:dyDescent="0.3">
      <c r="A430" t="s">
        <v>461</v>
      </c>
      <c r="B430" s="1">
        <v>43291</v>
      </c>
      <c r="C430" t="s">
        <v>16</v>
      </c>
      <c r="D430" t="s">
        <v>17</v>
      </c>
      <c r="E430">
        <v>19</v>
      </c>
      <c r="F430">
        <v>40</v>
      </c>
      <c r="G430">
        <v>760</v>
      </c>
      <c r="H430">
        <v>0.1</v>
      </c>
      <c r="I430">
        <v>76</v>
      </c>
      <c r="J430">
        <v>684</v>
      </c>
      <c r="K430" t="s">
        <v>38</v>
      </c>
    </row>
    <row r="431" spans="1:11" x14ac:dyDescent="0.3">
      <c r="A431" t="s">
        <v>462</v>
      </c>
      <c r="B431" s="1">
        <v>43291</v>
      </c>
      <c r="C431" t="s">
        <v>31</v>
      </c>
      <c r="D431" t="s">
        <v>13</v>
      </c>
      <c r="E431">
        <v>18</v>
      </c>
      <c r="F431">
        <v>16</v>
      </c>
      <c r="G431">
        <v>288</v>
      </c>
      <c r="H431">
        <v>0.05</v>
      </c>
      <c r="I431">
        <v>14.4</v>
      </c>
      <c r="J431">
        <v>274</v>
      </c>
      <c r="K431" t="s">
        <v>40</v>
      </c>
    </row>
    <row r="432" spans="1:11" x14ac:dyDescent="0.3">
      <c r="A432" t="s">
        <v>463</v>
      </c>
      <c r="B432" s="1">
        <v>43291</v>
      </c>
      <c r="C432" t="s">
        <v>16</v>
      </c>
      <c r="D432" t="s">
        <v>25</v>
      </c>
      <c r="E432">
        <v>2</v>
      </c>
      <c r="F432">
        <v>40</v>
      </c>
      <c r="G432">
        <v>80</v>
      </c>
      <c r="H432">
        <v>0.02</v>
      </c>
      <c r="I432">
        <v>1.6</v>
      </c>
      <c r="J432">
        <v>78</v>
      </c>
      <c r="K432" t="s">
        <v>42</v>
      </c>
    </row>
    <row r="433" spans="1:11" x14ac:dyDescent="0.3">
      <c r="A433" t="s">
        <v>464</v>
      </c>
      <c r="B433" s="1">
        <v>43291</v>
      </c>
      <c r="C433" t="s">
        <v>16</v>
      </c>
      <c r="D433" t="s">
        <v>28</v>
      </c>
      <c r="E433">
        <v>7</v>
      </c>
      <c r="F433">
        <v>40</v>
      </c>
      <c r="G433">
        <v>280</v>
      </c>
      <c r="H433">
        <v>7.0000000000000007E-2</v>
      </c>
      <c r="I433">
        <v>19.600000000000001</v>
      </c>
      <c r="J433">
        <v>260</v>
      </c>
      <c r="K433" t="s">
        <v>44</v>
      </c>
    </row>
    <row r="434" spans="1:11" x14ac:dyDescent="0.3">
      <c r="A434" t="s">
        <v>465</v>
      </c>
      <c r="B434" s="1">
        <v>43291</v>
      </c>
      <c r="C434" t="s">
        <v>35</v>
      </c>
      <c r="D434" t="s">
        <v>25</v>
      </c>
      <c r="E434">
        <v>11</v>
      </c>
      <c r="F434">
        <v>150</v>
      </c>
      <c r="G434">
        <v>1650</v>
      </c>
      <c r="H434">
        <v>0.05</v>
      </c>
      <c r="I434">
        <v>82.5</v>
      </c>
      <c r="J434">
        <v>1568</v>
      </c>
      <c r="K434" t="s">
        <v>14</v>
      </c>
    </row>
    <row r="435" spans="1:11" x14ac:dyDescent="0.3">
      <c r="A435" t="s">
        <v>466</v>
      </c>
      <c r="B435" s="1">
        <v>43291</v>
      </c>
      <c r="C435" t="s">
        <v>12</v>
      </c>
      <c r="D435" t="s">
        <v>17</v>
      </c>
      <c r="E435">
        <v>14</v>
      </c>
      <c r="F435">
        <v>80</v>
      </c>
      <c r="G435">
        <v>1120</v>
      </c>
      <c r="H435">
        <v>0.11</v>
      </c>
      <c r="I435">
        <v>123.2</v>
      </c>
      <c r="J435">
        <v>997</v>
      </c>
      <c r="K435" t="s">
        <v>18</v>
      </c>
    </row>
    <row r="436" spans="1:11" x14ac:dyDescent="0.3">
      <c r="A436" t="s">
        <v>467</v>
      </c>
      <c r="B436" s="1">
        <v>43291</v>
      </c>
      <c r="C436" t="s">
        <v>16</v>
      </c>
      <c r="D436" t="s">
        <v>32</v>
      </c>
      <c r="E436">
        <v>7</v>
      </c>
      <c r="F436">
        <v>40</v>
      </c>
      <c r="G436">
        <v>280</v>
      </c>
      <c r="H436">
        <v>0.04</v>
      </c>
      <c r="I436">
        <v>11.200000000000001</v>
      </c>
      <c r="J436">
        <v>269</v>
      </c>
      <c r="K436" t="s">
        <v>21</v>
      </c>
    </row>
    <row r="437" spans="1:11" x14ac:dyDescent="0.3">
      <c r="A437" t="s">
        <v>468</v>
      </c>
      <c r="B437" s="1">
        <v>43291</v>
      </c>
      <c r="C437" t="s">
        <v>12</v>
      </c>
      <c r="D437" t="s">
        <v>28</v>
      </c>
      <c r="E437">
        <v>14</v>
      </c>
      <c r="F437">
        <v>80</v>
      </c>
      <c r="G437">
        <v>1120</v>
      </c>
      <c r="H437">
        <v>0.05</v>
      </c>
      <c r="I437">
        <v>56</v>
      </c>
      <c r="J437">
        <v>1064</v>
      </c>
      <c r="K437" t="s">
        <v>23</v>
      </c>
    </row>
    <row r="438" spans="1:11" x14ac:dyDescent="0.3">
      <c r="A438" t="s">
        <v>469</v>
      </c>
      <c r="B438" s="1">
        <v>43292</v>
      </c>
      <c r="C438" t="s">
        <v>31</v>
      </c>
      <c r="D438" t="s">
        <v>25</v>
      </c>
      <c r="E438">
        <v>12</v>
      </c>
      <c r="F438">
        <v>16</v>
      </c>
      <c r="G438">
        <v>192</v>
      </c>
      <c r="H438">
        <v>0.11</v>
      </c>
      <c r="I438">
        <v>21.12</v>
      </c>
      <c r="J438">
        <v>171</v>
      </c>
      <c r="K438" t="s">
        <v>26</v>
      </c>
    </row>
    <row r="439" spans="1:11" x14ac:dyDescent="0.3">
      <c r="A439" t="s">
        <v>470</v>
      </c>
      <c r="B439" s="1">
        <v>43292</v>
      </c>
      <c r="C439" t="s">
        <v>16</v>
      </c>
      <c r="D439" t="s">
        <v>32</v>
      </c>
      <c r="E439">
        <v>11</v>
      </c>
      <c r="F439">
        <v>40</v>
      </c>
      <c r="G439">
        <v>440</v>
      </c>
      <c r="H439">
        <v>0.05</v>
      </c>
      <c r="I439">
        <v>22</v>
      </c>
      <c r="J439">
        <v>418</v>
      </c>
      <c r="K439" t="s">
        <v>29</v>
      </c>
    </row>
    <row r="440" spans="1:11" x14ac:dyDescent="0.3">
      <c r="A440" t="s">
        <v>471</v>
      </c>
      <c r="B440" s="1">
        <v>43292</v>
      </c>
      <c r="C440" t="s">
        <v>31</v>
      </c>
      <c r="D440" t="s">
        <v>25</v>
      </c>
      <c r="E440">
        <v>14</v>
      </c>
      <c r="F440">
        <v>16</v>
      </c>
      <c r="G440">
        <v>224</v>
      </c>
      <c r="H440">
        <v>0.01</v>
      </c>
      <c r="I440">
        <v>2.2400000000000002</v>
      </c>
      <c r="J440">
        <v>222</v>
      </c>
      <c r="K440" t="s">
        <v>33</v>
      </c>
    </row>
    <row r="441" spans="1:11" x14ac:dyDescent="0.3">
      <c r="A441" t="s">
        <v>472</v>
      </c>
      <c r="B441" s="1">
        <v>43292</v>
      </c>
      <c r="C441" t="s">
        <v>20</v>
      </c>
      <c r="D441" t="s">
        <v>28</v>
      </c>
      <c r="E441">
        <v>2</v>
      </c>
      <c r="F441">
        <v>230</v>
      </c>
      <c r="G441">
        <v>460</v>
      </c>
      <c r="H441">
        <v>0.08</v>
      </c>
      <c r="I441">
        <v>36.800000000000004</v>
      </c>
      <c r="J441">
        <v>423</v>
      </c>
      <c r="K441" t="s">
        <v>36</v>
      </c>
    </row>
    <row r="442" spans="1:11" x14ac:dyDescent="0.3">
      <c r="A442" t="s">
        <v>473</v>
      </c>
      <c r="B442" s="1">
        <v>43292</v>
      </c>
      <c r="C442" t="s">
        <v>31</v>
      </c>
      <c r="D442" t="s">
        <v>13</v>
      </c>
      <c r="E442">
        <v>20</v>
      </c>
      <c r="F442">
        <v>16</v>
      </c>
      <c r="G442">
        <v>320</v>
      </c>
      <c r="H442">
        <v>0.11</v>
      </c>
      <c r="I442">
        <v>35.200000000000003</v>
      </c>
      <c r="J442">
        <v>285</v>
      </c>
      <c r="K442" t="s">
        <v>38</v>
      </c>
    </row>
    <row r="443" spans="1:11" x14ac:dyDescent="0.3">
      <c r="A443" t="s">
        <v>474</v>
      </c>
      <c r="B443" s="1">
        <v>43292</v>
      </c>
      <c r="C443" t="s">
        <v>31</v>
      </c>
      <c r="D443" t="s">
        <v>25</v>
      </c>
      <c r="E443">
        <v>6</v>
      </c>
      <c r="F443">
        <v>16</v>
      </c>
      <c r="G443">
        <v>96</v>
      </c>
      <c r="H443">
        <v>0.06</v>
      </c>
      <c r="I443">
        <v>5.76</v>
      </c>
      <c r="J443">
        <v>90</v>
      </c>
      <c r="K443" t="s">
        <v>40</v>
      </c>
    </row>
    <row r="444" spans="1:11" x14ac:dyDescent="0.3">
      <c r="A444" t="s">
        <v>475</v>
      </c>
      <c r="B444" s="1">
        <v>43292</v>
      </c>
      <c r="C444" t="s">
        <v>12</v>
      </c>
      <c r="D444" t="s">
        <v>28</v>
      </c>
      <c r="E444">
        <v>17</v>
      </c>
      <c r="F444">
        <v>80</v>
      </c>
      <c r="G444">
        <v>1360</v>
      </c>
      <c r="H444">
        <v>0.05</v>
      </c>
      <c r="I444">
        <v>68</v>
      </c>
      <c r="J444">
        <v>1292</v>
      </c>
      <c r="K444" t="s">
        <v>42</v>
      </c>
    </row>
    <row r="445" spans="1:11" x14ac:dyDescent="0.3">
      <c r="A445" t="s">
        <v>476</v>
      </c>
      <c r="B445" s="1">
        <v>43292</v>
      </c>
      <c r="C445" t="s">
        <v>16</v>
      </c>
      <c r="D445" t="s">
        <v>13</v>
      </c>
      <c r="E445">
        <v>2</v>
      </c>
      <c r="F445">
        <v>40</v>
      </c>
      <c r="G445">
        <v>80</v>
      </c>
      <c r="H445">
        <v>0.12</v>
      </c>
      <c r="I445">
        <v>9.6</v>
      </c>
      <c r="J445">
        <v>70</v>
      </c>
      <c r="K445" t="s">
        <v>44</v>
      </c>
    </row>
    <row r="446" spans="1:11" x14ac:dyDescent="0.3">
      <c r="A446" t="s">
        <v>477</v>
      </c>
      <c r="B446" s="1">
        <v>43292</v>
      </c>
      <c r="C446" t="s">
        <v>31</v>
      </c>
      <c r="D446" t="s">
        <v>13</v>
      </c>
      <c r="E446">
        <v>7</v>
      </c>
      <c r="F446">
        <v>16</v>
      </c>
      <c r="G446">
        <v>112</v>
      </c>
      <c r="H446">
        <v>0.12</v>
      </c>
      <c r="I446">
        <v>13.44</v>
      </c>
      <c r="J446">
        <v>99</v>
      </c>
      <c r="K446" t="s">
        <v>14</v>
      </c>
    </row>
    <row r="447" spans="1:11" x14ac:dyDescent="0.3">
      <c r="A447" t="s">
        <v>478</v>
      </c>
      <c r="B447" s="1">
        <v>43292</v>
      </c>
      <c r="C447" t="s">
        <v>35</v>
      </c>
      <c r="D447" t="s">
        <v>13</v>
      </c>
      <c r="E447">
        <v>7</v>
      </c>
      <c r="F447">
        <v>150</v>
      </c>
      <c r="G447">
        <v>1050</v>
      </c>
      <c r="H447">
        <v>0.02</v>
      </c>
      <c r="I447">
        <v>21</v>
      </c>
      <c r="J447">
        <v>1029</v>
      </c>
      <c r="K447" t="s">
        <v>18</v>
      </c>
    </row>
    <row r="448" spans="1:11" x14ac:dyDescent="0.3">
      <c r="A448" t="s">
        <v>479</v>
      </c>
      <c r="B448" s="1">
        <v>43292</v>
      </c>
      <c r="C448" t="s">
        <v>12</v>
      </c>
      <c r="D448" t="s">
        <v>13</v>
      </c>
      <c r="E448">
        <v>20</v>
      </c>
      <c r="F448">
        <v>80</v>
      </c>
      <c r="G448">
        <v>1600</v>
      </c>
      <c r="H448">
        <v>0.01</v>
      </c>
      <c r="I448">
        <v>16</v>
      </c>
      <c r="J448">
        <v>1584</v>
      </c>
      <c r="K448" t="s">
        <v>21</v>
      </c>
    </row>
    <row r="449" spans="1:11" x14ac:dyDescent="0.3">
      <c r="A449" t="s">
        <v>480</v>
      </c>
      <c r="B449" s="1">
        <v>43292</v>
      </c>
      <c r="C449" t="s">
        <v>12</v>
      </c>
      <c r="D449" t="s">
        <v>28</v>
      </c>
      <c r="E449">
        <v>11</v>
      </c>
      <c r="F449">
        <v>80</v>
      </c>
      <c r="G449">
        <v>880</v>
      </c>
      <c r="H449">
        <v>0.01</v>
      </c>
      <c r="I449">
        <v>8.8000000000000007</v>
      </c>
      <c r="J449">
        <v>871</v>
      </c>
      <c r="K449" t="s">
        <v>23</v>
      </c>
    </row>
    <row r="450" spans="1:11" x14ac:dyDescent="0.3">
      <c r="A450" t="s">
        <v>481</v>
      </c>
      <c r="B450" s="1">
        <v>43292</v>
      </c>
      <c r="C450" t="s">
        <v>12</v>
      </c>
      <c r="D450" t="s">
        <v>25</v>
      </c>
      <c r="E450">
        <v>10</v>
      </c>
      <c r="F450">
        <v>80</v>
      </c>
      <c r="G450">
        <v>800</v>
      </c>
      <c r="H450">
        <v>0.08</v>
      </c>
      <c r="I450">
        <v>64</v>
      </c>
      <c r="J450">
        <v>736</v>
      </c>
      <c r="K450" t="s">
        <v>26</v>
      </c>
    </row>
    <row r="451" spans="1:11" x14ac:dyDescent="0.3">
      <c r="A451" t="s">
        <v>482</v>
      </c>
      <c r="B451" s="1">
        <v>43293</v>
      </c>
      <c r="C451" t="s">
        <v>12</v>
      </c>
      <c r="D451" t="s">
        <v>17</v>
      </c>
      <c r="E451">
        <v>5</v>
      </c>
      <c r="F451">
        <v>80</v>
      </c>
      <c r="G451">
        <v>400</v>
      </c>
      <c r="H451">
        <v>0.04</v>
      </c>
      <c r="I451">
        <v>16</v>
      </c>
      <c r="J451">
        <v>384</v>
      </c>
      <c r="K451" t="s">
        <v>29</v>
      </c>
    </row>
    <row r="452" spans="1:11" x14ac:dyDescent="0.3">
      <c r="A452" t="s">
        <v>483</v>
      </c>
      <c r="B452" s="1">
        <v>43293</v>
      </c>
      <c r="C452" t="s">
        <v>12</v>
      </c>
      <c r="D452" t="s">
        <v>28</v>
      </c>
      <c r="E452">
        <v>4</v>
      </c>
      <c r="F452">
        <v>80</v>
      </c>
      <c r="G452">
        <v>320</v>
      </c>
      <c r="H452">
        <v>0.11</v>
      </c>
      <c r="I452">
        <v>35.200000000000003</v>
      </c>
      <c r="J452">
        <v>285</v>
      </c>
      <c r="K452" t="s">
        <v>33</v>
      </c>
    </row>
    <row r="453" spans="1:11" x14ac:dyDescent="0.3">
      <c r="A453" t="s">
        <v>484</v>
      </c>
      <c r="B453" s="1">
        <v>43293</v>
      </c>
      <c r="C453" t="s">
        <v>31</v>
      </c>
      <c r="D453" t="s">
        <v>25</v>
      </c>
      <c r="E453">
        <v>3</v>
      </c>
      <c r="F453">
        <v>16</v>
      </c>
      <c r="G453">
        <v>48</v>
      </c>
      <c r="H453">
        <v>0.05</v>
      </c>
      <c r="I453">
        <v>2.4000000000000004</v>
      </c>
      <c r="J453">
        <v>46</v>
      </c>
      <c r="K453" t="s">
        <v>36</v>
      </c>
    </row>
    <row r="454" spans="1:11" x14ac:dyDescent="0.3">
      <c r="A454" t="s">
        <v>485</v>
      </c>
      <c r="B454" s="1">
        <v>43293</v>
      </c>
      <c r="C454" t="s">
        <v>12</v>
      </c>
      <c r="D454" t="s">
        <v>13</v>
      </c>
      <c r="E454">
        <v>9</v>
      </c>
      <c r="F454">
        <v>80</v>
      </c>
      <c r="G454">
        <v>720</v>
      </c>
      <c r="H454">
        <v>0.04</v>
      </c>
      <c r="I454">
        <v>28.8</v>
      </c>
      <c r="J454">
        <v>691</v>
      </c>
      <c r="K454" t="s">
        <v>38</v>
      </c>
    </row>
    <row r="455" spans="1:11" x14ac:dyDescent="0.3">
      <c r="A455" t="s">
        <v>486</v>
      </c>
      <c r="B455" s="1">
        <v>43293</v>
      </c>
      <c r="C455" t="s">
        <v>12</v>
      </c>
      <c r="D455" t="s">
        <v>32</v>
      </c>
      <c r="E455">
        <v>16</v>
      </c>
      <c r="F455">
        <v>80</v>
      </c>
      <c r="G455">
        <v>1280</v>
      </c>
      <c r="H455">
        <v>0.09</v>
      </c>
      <c r="I455">
        <v>115.19999999999999</v>
      </c>
      <c r="J455">
        <v>1165</v>
      </c>
      <c r="K455" t="s">
        <v>40</v>
      </c>
    </row>
    <row r="456" spans="1:11" x14ac:dyDescent="0.3">
      <c r="A456" t="s">
        <v>487</v>
      </c>
      <c r="B456" s="1">
        <v>43294</v>
      </c>
      <c r="C456" t="s">
        <v>31</v>
      </c>
      <c r="D456" t="s">
        <v>17</v>
      </c>
      <c r="E456">
        <v>7</v>
      </c>
      <c r="F456">
        <v>16</v>
      </c>
      <c r="G456">
        <v>112</v>
      </c>
      <c r="H456">
        <v>0.08</v>
      </c>
      <c r="I456">
        <v>8.9600000000000009</v>
      </c>
      <c r="J456">
        <v>103</v>
      </c>
      <c r="K456" t="s">
        <v>42</v>
      </c>
    </row>
    <row r="457" spans="1:11" x14ac:dyDescent="0.3">
      <c r="A457" t="s">
        <v>488</v>
      </c>
      <c r="B457" s="1">
        <v>43294</v>
      </c>
      <c r="C457" t="s">
        <v>35</v>
      </c>
      <c r="D457" t="s">
        <v>17</v>
      </c>
      <c r="E457">
        <v>16</v>
      </c>
      <c r="F457">
        <v>150</v>
      </c>
      <c r="G457">
        <v>2400</v>
      </c>
      <c r="H457">
        <v>0.05</v>
      </c>
      <c r="I457">
        <v>120</v>
      </c>
      <c r="J457">
        <v>2280</v>
      </c>
      <c r="K457" t="s">
        <v>44</v>
      </c>
    </row>
    <row r="458" spans="1:11" x14ac:dyDescent="0.3">
      <c r="A458" t="s">
        <v>489</v>
      </c>
      <c r="B458" s="1">
        <v>43294</v>
      </c>
      <c r="C458" t="s">
        <v>31</v>
      </c>
      <c r="D458" t="s">
        <v>28</v>
      </c>
      <c r="E458">
        <v>10</v>
      </c>
      <c r="F458">
        <v>16</v>
      </c>
      <c r="G458">
        <v>160</v>
      </c>
      <c r="H458">
        <v>0.04</v>
      </c>
      <c r="I458">
        <v>6.4</v>
      </c>
      <c r="J458">
        <v>154</v>
      </c>
      <c r="K458" t="s">
        <v>14</v>
      </c>
    </row>
    <row r="459" spans="1:11" x14ac:dyDescent="0.3">
      <c r="A459" t="s">
        <v>490</v>
      </c>
      <c r="B459" s="1">
        <v>43294</v>
      </c>
      <c r="C459" t="s">
        <v>16</v>
      </c>
      <c r="D459" t="s">
        <v>17</v>
      </c>
      <c r="E459">
        <v>4</v>
      </c>
      <c r="F459">
        <v>40</v>
      </c>
      <c r="G459">
        <v>160</v>
      </c>
      <c r="H459">
        <v>0.03</v>
      </c>
      <c r="I459">
        <v>4.8</v>
      </c>
      <c r="J459">
        <v>155</v>
      </c>
      <c r="K459" t="s">
        <v>18</v>
      </c>
    </row>
    <row r="460" spans="1:11" x14ac:dyDescent="0.3">
      <c r="A460" t="s">
        <v>491</v>
      </c>
      <c r="B460" s="1">
        <v>43294</v>
      </c>
      <c r="C460" t="s">
        <v>16</v>
      </c>
      <c r="D460" t="s">
        <v>17</v>
      </c>
      <c r="E460">
        <v>15</v>
      </c>
      <c r="F460">
        <v>40</v>
      </c>
      <c r="G460">
        <v>600</v>
      </c>
      <c r="H460">
        <v>0.02</v>
      </c>
      <c r="I460">
        <v>12</v>
      </c>
      <c r="J460">
        <v>588</v>
      </c>
      <c r="K460" t="s">
        <v>21</v>
      </c>
    </row>
    <row r="461" spans="1:11" x14ac:dyDescent="0.3">
      <c r="A461" t="s">
        <v>492</v>
      </c>
      <c r="B461" s="1">
        <v>43294</v>
      </c>
      <c r="C461" t="s">
        <v>12</v>
      </c>
      <c r="D461" t="s">
        <v>25</v>
      </c>
      <c r="E461">
        <v>6</v>
      </c>
      <c r="F461">
        <v>80</v>
      </c>
      <c r="G461">
        <v>480</v>
      </c>
      <c r="H461">
        <v>0.09</v>
      </c>
      <c r="I461">
        <v>43.199999999999996</v>
      </c>
      <c r="J461">
        <v>437</v>
      </c>
      <c r="K461" t="s">
        <v>23</v>
      </c>
    </row>
    <row r="462" spans="1:11" x14ac:dyDescent="0.3">
      <c r="A462" t="s">
        <v>493</v>
      </c>
      <c r="B462" s="1">
        <v>43294</v>
      </c>
      <c r="C462" t="s">
        <v>35</v>
      </c>
      <c r="D462" t="s">
        <v>13</v>
      </c>
      <c r="E462">
        <v>20</v>
      </c>
      <c r="F462">
        <v>150</v>
      </c>
      <c r="G462">
        <v>3000</v>
      </c>
      <c r="H462">
        <v>0.01</v>
      </c>
      <c r="I462">
        <v>30</v>
      </c>
      <c r="J462">
        <v>2970</v>
      </c>
      <c r="K462" t="s">
        <v>26</v>
      </c>
    </row>
    <row r="463" spans="1:11" x14ac:dyDescent="0.3">
      <c r="A463" t="s">
        <v>494</v>
      </c>
      <c r="B463" s="1">
        <v>43294</v>
      </c>
      <c r="C463" t="s">
        <v>31</v>
      </c>
      <c r="D463" t="s">
        <v>13</v>
      </c>
      <c r="E463">
        <v>7</v>
      </c>
      <c r="F463">
        <v>16</v>
      </c>
      <c r="G463">
        <v>112</v>
      </c>
      <c r="H463">
        <v>0.08</v>
      </c>
      <c r="I463">
        <v>8.9600000000000009</v>
      </c>
      <c r="J463">
        <v>103</v>
      </c>
      <c r="K463" t="s">
        <v>29</v>
      </c>
    </row>
    <row r="464" spans="1:11" x14ac:dyDescent="0.3">
      <c r="A464" t="s">
        <v>495</v>
      </c>
      <c r="B464" s="1">
        <v>43294</v>
      </c>
      <c r="C464" t="s">
        <v>12</v>
      </c>
      <c r="D464" t="s">
        <v>17</v>
      </c>
      <c r="E464">
        <v>2</v>
      </c>
      <c r="F464">
        <v>80</v>
      </c>
      <c r="G464">
        <v>160</v>
      </c>
      <c r="H464">
        <v>7.0000000000000007E-2</v>
      </c>
      <c r="I464">
        <v>11.200000000000001</v>
      </c>
      <c r="J464">
        <v>149</v>
      </c>
      <c r="K464" t="s">
        <v>33</v>
      </c>
    </row>
    <row r="465" spans="1:11" x14ac:dyDescent="0.3">
      <c r="A465" t="s">
        <v>496</v>
      </c>
      <c r="B465" s="1">
        <v>43294</v>
      </c>
      <c r="C465" t="s">
        <v>16</v>
      </c>
      <c r="D465" t="s">
        <v>17</v>
      </c>
      <c r="E465">
        <v>23</v>
      </c>
      <c r="F465">
        <v>40</v>
      </c>
      <c r="G465">
        <v>920</v>
      </c>
      <c r="H465">
        <v>0.06</v>
      </c>
      <c r="I465">
        <v>55.199999999999996</v>
      </c>
      <c r="J465">
        <v>865</v>
      </c>
      <c r="K465" t="s">
        <v>36</v>
      </c>
    </row>
    <row r="466" spans="1:11" x14ac:dyDescent="0.3">
      <c r="A466" t="s">
        <v>497</v>
      </c>
      <c r="B466" s="1">
        <v>43294</v>
      </c>
      <c r="C466" t="s">
        <v>31</v>
      </c>
      <c r="D466" t="s">
        <v>13</v>
      </c>
      <c r="E466">
        <v>12</v>
      </c>
      <c r="F466">
        <v>16</v>
      </c>
      <c r="G466">
        <v>192</v>
      </c>
      <c r="H466">
        <v>0.11</v>
      </c>
      <c r="I466">
        <v>21.12</v>
      </c>
      <c r="J466">
        <v>171</v>
      </c>
      <c r="K466" t="s">
        <v>38</v>
      </c>
    </row>
    <row r="467" spans="1:11" x14ac:dyDescent="0.3">
      <c r="A467" t="s">
        <v>498</v>
      </c>
      <c r="B467" s="1">
        <v>43294</v>
      </c>
      <c r="C467" t="s">
        <v>20</v>
      </c>
      <c r="D467" t="s">
        <v>28</v>
      </c>
      <c r="E467">
        <v>2</v>
      </c>
      <c r="F467">
        <v>230</v>
      </c>
      <c r="G467">
        <v>460</v>
      </c>
      <c r="H467">
        <v>0.09</v>
      </c>
      <c r="I467">
        <v>41.4</v>
      </c>
      <c r="J467">
        <v>419</v>
      </c>
      <c r="K467" t="s">
        <v>40</v>
      </c>
    </row>
    <row r="468" spans="1:11" x14ac:dyDescent="0.3">
      <c r="A468" t="s">
        <v>499</v>
      </c>
      <c r="B468" s="1">
        <v>43294</v>
      </c>
      <c r="C468" t="s">
        <v>35</v>
      </c>
      <c r="D468" t="s">
        <v>13</v>
      </c>
      <c r="E468">
        <v>4</v>
      </c>
      <c r="F468">
        <v>150</v>
      </c>
      <c r="G468">
        <v>600</v>
      </c>
      <c r="H468">
        <v>0.06</v>
      </c>
      <c r="I468">
        <v>36</v>
      </c>
      <c r="J468">
        <v>564</v>
      </c>
      <c r="K468" t="s">
        <v>42</v>
      </c>
    </row>
    <row r="469" spans="1:11" x14ac:dyDescent="0.3">
      <c r="A469" t="s">
        <v>500</v>
      </c>
      <c r="B469" s="1">
        <v>43294</v>
      </c>
      <c r="C469" t="s">
        <v>16</v>
      </c>
      <c r="D469" t="s">
        <v>13</v>
      </c>
      <c r="E469">
        <v>23</v>
      </c>
      <c r="F469">
        <v>40</v>
      </c>
      <c r="G469">
        <v>920</v>
      </c>
      <c r="H469">
        <v>7.0000000000000007E-2</v>
      </c>
      <c r="I469">
        <v>64.400000000000006</v>
      </c>
      <c r="J469">
        <v>856</v>
      </c>
      <c r="K469" t="s">
        <v>44</v>
      </c>
    </row>
    <row r="470" spans="1:11" x14ac:dyDescent="0.3">
      <c r="A470" t="s">
        <v>501</v>
      </c>
      <c r="B470" s="1">
        <v>43294</v>
      </c>
      <c r="C470" t="s">
        <v>31</v>
      </c>
      <c r="D470" t="s">
        <v>32</v>
      </c>
      <c r="E470">
        <v>2</v>
      </c>
      <c r="F470">
        <v>16</v>
      </c>
      <c r="G470">
        <v>32</v>
      </c>
      <c r="H470">
        <v>0.04</v>
      </c>
      <c r="I470">
        <v>1.28</v>
      </c>
      <c r="J470">
        <v>31</v>
      </c>
      <c r="K470" t="s">
        <v>14</v>
      </c>
    </row>
    <row r="471" spans="1:11" x14ac:dyDescent="0.3">
      <c r="A471" t="s">
        <v>502</v>
      </c>
      <c r="B471" s="1">
        <v>43294</v>
      </c>
      <c r="C471" t="s">
        <v>35</v>
      </c>
      <c r="D471" t="s">
        <v>28</v>
      </c>
      <c r="E471">
        <v>7</v>
      </c>
      <c r="F471">
        <v>150</v>
      </c>
      <c r="G471">
        <v>1050</v>
      </c>
      <c r="H471">
        <v>0.05</v>
      </c>
      <c r="I471">
        <v>52.5</v>
      </c>
      <c r="J471">
        <v>998</v>
      </c>
      <c r="K471" t="s">
        <v>18</v>
      </c>
    </row>
    <row r="472" spans="1:11" x14ac:dyDescent="0.3">
      <c r="A472" t="s">
        <v>503</v>
      </c>
      <c r="B472" s="1">
        <v>43295</v>
      </c>
      <c r="C472" t="s">
        <v>16</v>
      </c>
      <c r="D472" t="s">
        <v>13</v>
      </c>
      <c r="E472">
        <v>15</v>
      </c>
      <c r="F472">
        <v>40</v>
      </c>
      <c r="G472">
        <v>600</v>
      </c>
      <c r="H472">
        <v>0.06</v>
      </c>
      <c r="I472">
        <v>36</v>
      </c>
      <c r="J472">
        <v>564</v>
      </c>
      <c r="K472" t="s">
        <v>21</v>
      </c>
    </row>
    <row r="473" spans="1:11" x14ac:dyDescent="0.3">
      <c r="A473" t="s">
        <v>504</v>
      </c>
      <c r="B473" s="1">
        <v>43295</v>
      </c>
      <c r="C473" t="s">
        <v>12</v>
      </c>
      <c r="D473" t="s">
        <v>28</v>
      </c>
      <c r="E473">
        <v>16</v>
      </c>
      <c r="F473">
        <v>80</v>
      </c>
      <c r="G473">
        <v>1280</v>
      </c>
      <c r="H473">
        <v>0.05</v>
      </c>
      <c r="I473">
        <v>64</v>
      </c>
      <c r="J473">
        <v>1216</v>
      </c>
      <c r="K473" t="s">
        <v>23</v>
      </c>
    </row>
    <row r="474" spans="1:11" x14ac:dyDescent="0.3">
      <c r="A474" t="s">
        <v>505</v>
      </c>
      <c r="B474" s="1">
        <v>43295</v>
      </c>
      <c r="C474" t="s">
        <v>16</v>
      </c>
      <c r="D474" t="s">
        <v>32</v>
      </c>
      <c r="E474">
        <v>16</v>
      </c>
      <c r="F474">
        <v>40</v>
      </c>
      <c r="G474">
        <v>640</v>
      </c>
      <c r="H474">
        <v>0.11</v>
      </c>
      <c r="I474">
        <v>70.400000000000006</v>
      </c>
      <c r="J474">
        <v>570</v>
      </c>
      <c r="K474" t="s">
        <v>26</v>
      </c>
    </row>
    <row r="475" spans="1:11" x14ac:dyDescent="0.3">
      <c r="A475" t="s">
        <v>506</v>
      </c>
      <c r="B475" s="1">
        <v>43295</v>
      </c>
      <c r="C475" t="s">
        <v>31</v>
      </c>
      <c r="D475" t="s">
        <v>32</v>
      </c>
      <c r="E475">
        <v>23</v>
      </c>
      <c r="F475">
        <v>16</v>
      </c>
      <c r="G475">
        <v>368</v>
      </c>
      <c r="H475">
        <v>0.01</v>
      </c>
      <c r="I475">
        <v>3.68</v>
      </c>
      <c r="J475">
        <v>364</v>
      </c>
      <c r="K475" t="s">
        <v>29</v>
      </c>
    </row>
    <row r="476" spans="1:11" x14ac:dyDescent="0.3">
      <c r="A476" t="s">
        <v>507</v>
      </c>
      <c r="B476" s="1">
        <v>43295</v>
      </c>
      <c r="C476" t="s">
        <v>20</v>
      </c>
      <c r="D476" t="s">
        <v>17</v>
      </c>
      <c r="E476">
        <v>12</v>
      </c>
      <c r="F476">
        <v>230</v>
      </c>
      <c r="G476">
        <v>2760</v>
      </c>
      <c r="H476">
        <v>0.03</v>
      </c>
      <c r="I476">
        <v>82.8</v>
      </c>
      <c r="J476">
        <v>2677</v>
      </c>
      <c r="K476" t="s">
        <v>33</v>
      </c>
    </row>
    <row r="477" spans="1:11" x14ac:dyDescent="0.3">
      <c r="A477" t="s">
        <v>508</v>
      </c>
      <c r="B477" s="1">
        <v>43295</v>
      </c>
      <c r="C477" t="s">
        <v>31</v>
      </c>
      <c r="D477" t="s">
        <v>13</v>
      </c>
      <c r="E477">
        <v>4</v>
      </c>
      <c r="F477">
        <v>16</v>
      </c>
      <c r="G477">
        <v>64</v>
      </c>
      <c r="H477">
        <v>0.12</v>
      </c>
      <c r="I477">
        <v>7.68</v>
      </c>
      <c r="J477">
        <v>56</v>
      </c>
      <c r="K477" t="s">
        <v>36</v>
      </c>
    </row>
    <row r="478" spans="1:11" x14ac:dyDescent="0.3">
      <c r="A478" t="s">
        <v>509</v>
      </c>
      <c r="B478" s="1">
        <v>43295</v>
      </c>
      <c r="C478" t="s">
        <v>35</v>
      </c>
      <c r="D478" t="s">
        <v>28</v>
      </c>
      <c r="E478">
        <v>3</v>
      </c>
      <c r="F478">
        <v>150</v>
      </c>
      <c r="G478">
        <v>450</v>
      </c>
      <c r="H478">
        <v>0.01</v>
      </c>
      <c r="I478">
        <v>4.5</v>
      </c>
      <c r="J478">
        <v>446</v>
      </c>
      <c r="K478" t="s">
        <v>38</v>
      </c>
    </row>
    <row r="479" spans="1:11" x14ac:dyDescent="0.3">
      <c r="A479" t="s">
        <v>510</v>
      </c>
      <c r="B479" s="1">
        <v>43295</v>
      </c>
      <c r="C479" t="s">
        <v>35</v>
      </c>
      <c r="D479" t="s">
        <v>17</v>
      </c>
      <c r="E479">
        <v>10</v>
      </c>
      <c r="F479">
        <v>150</v>
      </c>
      <c r="G479">
        <v>1500</v>
      </c>
      <c r="H479">
        <v>0.01</v>
      </c>
      <c r="I479">
        <v>15</v>
      </c>
      <c r="J479">
        <v>1485</v>
      </c>
      <c r="K479" t="s">
        <v>40</v>
      </c>
    </row>
    <row r="480" spans="1:11" x14ac:dyDescent="0.3">
      <c r="A480" t="s">
        <v>511</v>
      </c>
      <c r="B480" s="1">
        <v>43295</v>
      </c>
      <c r="C480" t="s">
        <v>12</v>
      </c>
      <c r="D480" t="s">
        <v>17</v>
      </c>
      <c r="E480">
        <v>13</v>
      </c>
      <c r="F480">
        <v>80</v>
      </c>
      <c r="G480">
        <v>1040</v>
      </c>
      <c r="H480">
        <v>0.06</v>
      </c>
      <c r="I480">
        <v>62.4</v>
      </c>
      <c r="J480">
        <v>978</v>
      </c>
      <c r="K480" t="s">
        <v>42</v>
      </c>
    </row>
    <row r="481" spans="1:11" x14ac:dyDescent="0.3">
      <c r="A481" t="s">
        <v>512</v>
      </c>
      <c r="B481" s="1">
        <v>43295</v>
      </c>
      <c r="C481" t="s">
        <v>20</v>
      </c>
      <c r="D481" t="s">
        <v>25</v>
      </c>
      <c r="E481">
        <v>15</v>
      </c>
      <c r="F481">
        <v>230</v>
      </c>
      <c r="G481">
        <v>3450</v>
      </c>
      <c r="H481">
        <v>0.04</v>
      </c>
      <c r="I481">
        <v>138</v>
      </c>
      <c r="J481">
        <v>3312</v>
      </c>
      <c r="K481" t="s">
        <v>44</v>
      </c>
    </row>
    <row r="482" spans="1:11" x14ac:dyDescent="0.3">
      <c r="A482" t="s">
        <v>513</v>
      </c>
      <c r="B482" s="1">
        <v>43295</v>
      </c>
      <c r="C482" t="s">
        <v>35</v>
      </c>
      <c r="D482" t="s">
        <v>13</v>
      </c>
      <c r="E482">
        <v>23</v>
      </c>
      <c r="F482">
        <v>150</v>
      </c>
      <c r="G482">
        <v>3450</v>
      </c>
      <c r="H482">
        <v>0.1</v>
      </c>
      <c r="I482">
        <v>345</v>
      </c>
      <c r="J482">
        <v>3105</v>
      </c>
      <c r="K482" t="s">
        <v>14</v>
      </c>
    </row>
    <row r="483" spans="1:11" x14ac:dyDescent="0.3">
      <c r="A483" t="s">
        <v>514</v>
      </c>
      <c r="B483" s="1">
        <v>43295</v>
      </c>
      <c r="C483" t="s">
        <v>35</v>
      </c>
      <c r="D483" t="s">
        <v>17</v>
      </c>
      <c r="E483">
        <v>15</v>
      </c>
      <c r="F483">
        <v>150</v>
      </c>
      <c r="G483">
        <v>2250</v>
      </c>
      <c r="H483">
        <v>0.12</v>
      </c>
      <c r="I483">
        <v>270</v>
      </c>
      <c r="J483">
        <v>1980</v>
      </c>
      <c r="K483" t="s">
        <v>18</v>
      </c>
    </row>
    <row r="484" spans="1:11" x14ac:dyDescent="0.3">
      <c r="A484" t="s">
        <v>515</v>
      </c>
      <c r="B484" s="1">
        <v>43295</v>
      </c>
      <c r="C484" t="s">
        <v>35</v>
      </c>
      <c r="D484" t="s">
        <v>25</v>
      </c>
      <c r="E484">
        <v>20</v>
      </c>
      <c r="F484">
        <v>150</v>
      </c>
      <c r="G484">
        <v>3000</v>
      </c>
      <c r="H484">
        <v>0.12</v>
      </c>
      <c r="I484">
        <v>360</v>
      </c>
      <c r="J484">
        <v>2640</v>
      </c>
      <c r="K484" t="s">
        <v>21</v>
      </c>
    </row>
    <row r="485" spans="1:11" x14ac:dyDescent="0.3">
      <c r="A485" t="s">
        <v>516</v>
      </c>
      <c r="B485" s="1">
        <v>43295</v>
      </c>
      <c r="C485" t="s">
        <v>16</v>
      </c>
      <c r="D485" t="s">
        <v>28</v>
      </c>
      <c r="E485">
        <v>13</v>
      </c>
      <c r="F485">
        <v>40</v>
      </c>
      <c r="G485">
        <v>520</v>
      </c>
      <c r="H485">
        <v>0.09</v>
      </c>
      <c r="I485">
        <v>46.8</v>
      </c>
      <c r="J485">
        <v>473</v>
      </c>
      <c r="K485" t="s">
        <v>23</v>
      </c>
    </row>
    <row r="486" spans="1:11" x14ac:dyDescent="0.3">
      <c r="A486" t="s">
        <v>517</v>
      </c>
      <c r="B486" s="1">
        <v>43296</v>
      </c>
      <c r="C486" t="s">
        <v>31</v>
      </c>
      <c r="D486" t="s">
        <v>25</v>
      </c>
      <c r="E486">
        <v>11</v>
      </c>
      <c r="F486">
        <v>16</v>
      </c>
      <c r="G486">
        <v>176</v>
      </c>
      <c r="H486">
        <v>0.04</v>
      </c>
      <c r="I486">
        <v>7.04</v>
      </c>
      <c r="J486">
        <v>169</v>
      </c>
      <c r="K486" t="s">
        <v>26</v>
      </c>
    </row>
    <row r="487" spans="1:11" x14ac:dyDescent="0.3">
      <c r="A487" t="s">
        <v>518</v>
      </c>
      <c r="B487" s="1">
        <v>43296</v>
      </c>
      <c r="C487" t="s">
        <v>35</v>
      </c>
      <c r="D487" t="s">
        <v>25</v>
      </c>
      <c r="E487">
        <v>20</v>
      </c>
      <c r="F487">
        <v>150</v>
      </c>
      <c r="G487">
        <v>3000</v>
      </c>
      <c r="H487">
        <v>0.04</v>
      </c>
      <c r="I487">
        <v>120</v>
      </c>
      <c r="J487">
        <v>2880</v>
      </c>
      <c r="K487" t="s">
        <v>29</v>
      </c>
    </row>
    <row r="488" spans="1:11" x14ac:dyDescent="0.3">
      <c r="A488" t="s">
        <v>519</v>
      </c>
      <c r="B488" s="1">
        <v>43296</v>
      </c>
      <c r="C488" t="s">
        <v>16</v>
      </c>
      <c r="D488" t="s">
        <v>13</v>
      </c>
      <c r="E488">
        <v>18</v>
      </c>
      <c r="F488">
        <v>40</v>
      </c>
      <c r="G488">
        <v>720</v>
      </c>
      <c r="H488">
        <v>0.11</v>
      </c>
      <c r="I488">
        <v>79.2</v>
      </c>
      <c r="J488">
        <v>641</v>
      </c>
      <c r="K488" t="s">
        <v>33</v>
      </c>
    </row>
    <row r="489" spans="1:11" x14ac:dyDescent="0.3">
      <c r="A489" t="s">
        <v>520</v>
      </c>
      <c r="B489" s="1">
        <v>43296</v>
      </c>
      <c r="C489" t="s">
        <v>16</v>
      </c>
      <c r="D489" t="s">
        <v>25</v>
      </c>
      <c r="E489">
        <v>2</v>
      </c>
      <c r="F489">
        <v>40</v>
      </c>
      <c r="G489">
        <v>80</v>
      </c>
      <c r="H489">
        <v>0.03</v>
      </c>
      <c r="I489">
        <v>2.4</v>
      </c>
      <c r="J489">
        <v>78</v>
      </c>
      <c r="K489" t="s">
        <v>36</v>
      </c>
    </row>
    <row r="490" spans="1:11" x14ac:dyDescent="0.3">
      <c r="A490" t="s">
        <v>521</v>
      </c>
      <c r="B490" s="1">
        <v>43296</v>
      </c>
      <c r="C490" t="s">
        <v>31</v>
      </c>
      <c r="D490" t="s">
        <v>28</v>
      </c>
      <c r="E490">
        <v>15</v>
      </c>
      <c r="F490">
        <v>16</v>
      </c>
      <c r="G490">
        <v>240</v>
      </c>
      <c r="H490">
        <v>0.12</v>
      </c>
      <c r="I490">
        <v>28.799999999999997</v>
      </c>
      <c r="J490">
        <v>211</v>
      </c>
      <c r="K490" t="s">
        <v>38</v>
      </c>
    </row>
    <row r="491" spans="1:11" x14ac:dyDescent="0.3">
      <c r="A491" t="s">
        <v>522</v>
      </c>
      <c r="B491" s="1">
        <v>43296</v>
      </c>
      <c r="C491" t="s">
        <v>31</v>
      </c>
      <c r="D491" t="s">
        <v>25</v>
      </c>
      <c r="E491">
        <v>9</v>
      </c>
      <c r="F491">
        <v>16</v>
      </c>
      <c r="G491">
        <v>144</v>
      </c>
      <c r="H491">
        <v>0.05</v>
      </c>
      <c r="I491">
        <v>7.2</v>
      </c>
      <c r="J491">
        <v>137</v>
      </c>
      <c r="K491" t="s">
        <v>40</v>
      </c>
    </row>
    <row r="492" spans="1:11" x14ac:dyDescent="0.3">
      <c r="A492" t="s">
        <v>523</v>
      </c>
      <c r="B492" s="1">
        <v>43296</v>
      </c>
      <c r="C492" t="s">
        <v>16</v>
      </c>
      <c r="D492" t="s">
        <v>32</v>
      </c>
      <c r="E492">
        <v>7</v>
      </c>
      <c r="F492">
        <v>40</v>
      </c>
      <c r="G492">
        <v>280</v>
      </c>
      <c r="H492">
        <v>0.05</v>
      </c>
      <c r="I492">
        <v>14</v>
      </c>
      <c r="J492">
        <v>266</v>
      </c>
      <c r="K492" t="s">
        <v>14</v>
      </c>
    </row>
    <row r="493" spans="1:11" x14ac:dyDescent="0.3">
      <c r="A493" t="s">
        <v>524</v>
      </c>
      <c r="B493" s="1">
        <v>43296</v>
      </c>
      <c r="C493" t="s">
        <v>35</v>
      </c>
      <c r="D493" t="s">
        <v>32</v>
      </c>
      <c r="E493">
        <v>4</v>
      </c>
      <c r="F493">
        <v>150</v>
      </c>
      <c r="G493">
        <v>600</v>
      </c>
      <c r="H493">
        <v>0.05</v>
      </c>
      <c r="I493">
        <v>30</v>
      </c>
      <c r="J493">
        <v>570</v>
      </c>
      <c r="K493" t="s">
        <v>18</v>
      </c>
    </row>
    <row r="494" spans="1:11" x14ac:dyDescent="0.3">
      <c r="A494" t="s">
        <v>525</v>
      </c>
      <c r="B494" s="1">
        <v>43296</v>
      </c>
      <c r="C494" t="s">
        <v>20</v>
      </c>
      <c r="D494" t="s">
        <v>13</v>
      </c>
      <c r="E494">
        <v>15</v>
      </c>
      <c r="F494">
        <v>230</v>
      </c>
      <c r="G494">
        <v>3450</v>
      </c>
      <c r="H494">
        <v>0.05</v>
      </c>
      <c r="I494">
        <v>172.5</v>
      </c>
      <c r="J494">
        <v>3278</v>
      </c>
      <c r="K494" t="s">
        <v>21</v>
      </c>
    </row>
    <row r="495" spans="1:11" x14ac:dyDescent="0.3">
      <c r="A495" t="s">
        <v>526</v>
      </c>
      <c r="B495" s="1">
        <v>43297</v>
      </c>
      <c r="C495" t="s">
        <v>16</v>
      </c>
      <c r="D495" t="s">
        <v>17</v>
      </c>
      <c r="E495">
        <v>12</v>
      </c>
      <c r="F495">
        <v>40</v>
      </c>
      <c r="G495">
        <v>480</v>
      </c>
      <c r="H495">
        <v>0.1</v>
      </c>
      <c r="I495">
        <v>48</v>
      </c>
      <c r="J495">
        <v>432</v>
      </c>
      <c r="K495" t="s">
        <v>23</v>
      </c>
    </row>
    <row r="496" spans="1:11" x14ac:dyDescent="0.3">
      <c r="A496" t="s">
        <v>527</v>
      </c>
      <c r="B496" s="1">
        <v>43297</v>
      </c>
      <c r="C496" t="s">
        <v>20</v>
      </c>
      <c r="D496" t="s">
        <v>28</v>
      </c>
      <c r="E496">
        <v>23</v>
      </c>
      <c r="F496">
        <v>230</v>
      </c>
      <c r="G496">
        <v>5290</v>
      </c>
      <c r="H496">
        <v>0.06</v>
      </c>
      <c r="I496">
        <v>317.39999999999998</v>
      </c>
      <c r="J496">
        <v>4973</v>
      </c>
      <c r="K496" t="s">
        <v>26</v>
      </c>
    </row>
    <row r="497" spans="1:11" x14ac:dyDescent="0.3">
      <c r="A497" t="s">
        <v>528</v>
      </c>
      <c r="B497" s="1">
        <v>43297</v>
      </c>
      <c r="C497" t="s">
        <v>31</v>
      </c>
      <c r="D497" t="s">
        <v>13</v>
      </c>
      <c r="E497">
        <v>11</v>
      </c>
      <c r="F497">
        <v>16</v>
      </c>
      <c r="G497">
        <v>176</v>
      </c>
      <c r="H497">
        <v>0.09</v>
      </c>
      <c r="I497">
        <v>15.84</v>
      </c>
      <c r="J497">
        <v>160</v>
      </c>
      <c r="K497" t="s">
        <v>29</v>
      </c>
    </row>
    <row r="498" spans="1:11" x14ac:dyDescent="0.3">
      <c r="A498" t="s">
        <v>529</v>
      </c>
      <c r="B498" s="1">
        <v>43297</v>
      </c>
      <c r="C498" t="s">
        <v>35</v>
      </c>
      <c r="D498" t="s">
        <v>13</v>
      </c>
      <c r="E498">
        <v>9</v>
      </c>
      <c r="F498">
        <v>150</v>
      </c>
      <c r="G498">
        <v>1350</v>
      </c>
      <c r="H498">
        <v>0.1</v>
      </c>
      <c r="I498">
        <v>135</v>
      </c>
      <c r="J498">
        <v>1215</v>
      </c>
      <c r="K498" t="s">
        <v>33</v>
      </c>
    </row>
    <row r="499" spans="1:11" x14ac:dyDescent="0.3">
      <c r="A499" t="s">
        <v>530</v>
      </c>
      <c r="B499" s="1">
        <v>43297</v>
      </c>
      <c r="C499" t="s">
        <v>12</v>
      </c>
      <c r="D499" t="s">
        <v>13</v>
      </c>
      <c r="E499">
        <v>18</v>
      </c>
      <c r="F499">
        <v>80</v>
      </c>
      <c r="G499">
        <v>1440</v>
      </c>
      <c r="H499">
        <v>0.02</v>
      </c>
      <c r="I499">
        <v>28.8</v>
      </c>
      <c r="J499">
        <v>1411</v>
      </c>
      <c r="K499" t="s">
        <v>36</v>
      </c>
    </row>
    <row r="500" spans="1:11" x14ac:dyDescent="0.3">
      <c r="A500" t="s">
        <v>531</v>
      </c>
      <c r="B500" s="1">
        <v>43297</v>
      </c>
      <c r="C500" t="s">
        <v>16</v>
      </c>
      <c r="D500" t="s">
        <v>32</v>
      </c>
      <c r="E500">
        <v>23</v>
      </c>
      <c r="F500">
        <v>40</v>
      </c>
      <c r="G500">
        <v>920</v>
      </c>
      <c r="H500">
        <v>0.04</v>
      </c>
      <c r="I500">
        <v>36.800000000000004</v>
      </c>
      <c r="J500">
        <v>883</v>
      </c>
      <c r="K500" t="s">
        <v>38</v>
      </c>
    </row>
    <row r="501" spans="1:11" x14ac:dyDescent="0.3">
      <c r="A501" t="s">
        <v>532</v>
      </c>
      <c r="B501" s="1">
        <v>43297</v>
      </c>
      <c r="C501" t="s">
        <v>31</v>
      </c>
      <c r="D501" t="s">
        <v>32</v>
      </c>
      <c r="E501">
        <v>17</v>
      </c>
      <c r="F501">
        <v>16</v>
      </c>
      <c r="G501">
        <v>272</v>
      </c>
      <c r="H501">
        <v>0.1</v>
      </c>
      <c r="I501">
        <v>27.200000000000003</v>
      </c>
      <c r="J501">
        <v>245</v>
      </c>
      <c r="K501" t="s">
        <v>40</v>
      </c>
    </row>
    <row r="502" spans="1:11" x14ac:dyDescent="0.3">
      <c r="A502" t="s">
        <v>533</v>
      </c>
      <c r="B502" s="1">
        <v>43297</v>
      </c>
      <c r="C502" t="s">
        <v>35</v>
      </c>
      <c r="D502" t="s">
        <v>32</v>
      </c>
      <c r="E502">
        <v>17</v>
      </c>
      <c r="F502">
        <v>150</v>
      </c>
      <c r="G502">
        <v>2550</v>
      </c>
      <c r="H502">
        <v>0.02</v>
      </c>
      <c r="I502">
        <v>51</v>
      </c>
      <c r="J502">
        <v>2499</v>
      </c>
      <c r="K502" t="s">
        <v>42</v>
      </c>
    </row>
    <row r="503" spans="1:11" x14ac:dyDescent="0.3">
      <c r="A503" t="s">
        <v>534</v>
      </c>
      <c r="B503" s="1">
        <v>43297</v>
      </c>
      <c r="C503" t="s">
        <v>12</v>
      </c>
      <c r="D503" t="s">
        <v>28</v>
      </c>
      <c r="E503">
        <v>21</v>
      </c>
      <c r="F503">
        <v>80</v>
      </c>
      <c r="G503">
        <v>1680</v>
      </c>
      <c r="H503">
        <v>0.02</v>
      </c>
      <c r="I503">
        <v>33.6</v>
      </c>
      <c r="J503">
        <v>1646</v>
      </c>
      <c r="K503" t="s">
        <v>44</v>
      </c>
    </row>
    <row r="504" spans="1:11" x14ac:dyDescent="0.3">
      <c r="A504" t="s">
        <v>535</v>
      </c>
      <c r="B504" s="1">
        <v>43297</v>
      </c>
      <c r="C504" t="s">
        <v>16</v>
      </c>
      <c r="D504" t="s">
        <v>28</v>
      </c>
      <c r="E504">
        <v>11</v>
      </c>
      <c r="F504">
        <v>40</v>
      </c>
      <c r="G504">
        <v>440</v>
      </c>
      <c r="H504">
        <v>0.06</v>
      </c>
      <c r="I504">
        <v>26.4</v>
      </c>
      <c r="J504">
        <v>414</v>
      </c>
      <c r="K504" t="s">
        <v>14</v>
      </c>
    </row>
    <row r="505" spans="1:11" x14ac:dyDescent="0.3">
      <c r="A505" t="s">
        <v>536</v>
      </c>
      <c r="B505" s="1">
        <v>43297</v>
      </c>
      <c r="C505" t="s">
        <v>16</v>
      </c>
      <c r="D505" t="s">
        <v>13</v>
      </c>
      <c r="E505">
        <v>19</v>
      </c>
      <c r="F505">
        <v>40</v>
      </c>
      <c r="G505">
        <v>760</v>
      </c>
      <c r="H505">
        <v>0.04</v>
      </c>
      <c r="I505">
        <v>30.400000000000002</v>
      </c>
      <c r="J505">
        <v>730</v>
      </c>
      <c r="K505" t="s">
        <v>18</v>
      </c>
    </row>
    <row r="506" spans="1:11" x14ac:dyDescent="0.3">
      <c r="A506" t="s">
        <v>537</v>
      </c>
      <c r="B506" s="1">
        <v>43297</v>
      </c>
      <c r="C506" t="s">
        <v>16</v>
      </c>
      <c r="D506" t="s">
        <v>13</v>
      </c>
      <c r="E506">
        <v>23</v>
      </c>
      <c r="F506">
        <v>40</v>
      </c>
      <c r="G506">
        <v>920</v>
      </c>
      <c r="H506">
        <v>0.03</v>
      </c>
      <c r="I506">
        <v>27.599999999999998</v>
      </c>
      <c r="J506">
        <v>892</v>
      </c>
      <c r="K506" t="s">
        <v>21</v>
      </c>
    </row>
    <row r="507" spans="1:11" x14ac:dyDescent="0.3">
      <c r="A507" t="s">
        <v>538</v>
      </c>
      <c r="B507" s="1">
        <v>43297</v>
      </c>
      <c r="C507" t="s">
        <v>20</v>
      </c>
      <c r="D507" t="s">
        <v>17</v>
      </c>
      <c r="E507">
        <v>14</v>
      </c>
      <c r="F507">
        <v>230</v>
      </c>
      <c r="G507">
        <v>3220</v>
      </c>
      <c r="H507">
        <v>0.05</v>
      </c>
      <c r="I507">
        <v>161</v>
      </c>
      <c r="J507">
        <v>3059</v>
      </c>
      <c r="K507" t="s">
        <v>23</v>
      </c>
    </row>
    <row r="508" spans="1:11" x14ac:dyDescent="0.3">
      <c r="A508" t="s">
        <v>539</v>
      </c>
      <c r="B508" s="1">
        <v>43297</v>
      </c>
      <c r="C508" t="s">
        <v>16</v>
      </c>
      <c r="D508" t="s">
        <v>25</v>
      </c>
      <c r="E508">
        <v>18</v>
      </c>
      <c r="F508">
        <v>40</v>
      </c>
      <c r="G508">
        <v>720</v>
      </c>
      <c r="H508">
        <v>0.03</v>
      </c>
      <c r="I508">
        <v>21.599999999999998</v>
      </c>
      <c r="J508">
        <v>698</v>
      </c>
      <c r="K508" t="s">
        <v>26</v>
      </c>
    </row>
    <row r="509" spans="1:11" x14ac:dyDescent="0.3">
      <c r="A509" t="s">
        <v>540</v>
      </c>
      <c r="B509" s="1">
        <v>43297</v>
      </c>
      <c r="C509" t="s">
        <v>35</v>
      </c>
      <c r="D509" t="s">
        <v>17</v>
      </c>
      <c r="E509">
        <v>2</v>
      </c>
      <c r="F509">
        <v>150</v>
      </c>
      <c r="G509">
        <v>300</v>
      </c>
      <c r="H509">
        <v>0.09</v>
      </c>
      <c r="I509">
        <v>27</v>
      </c>
      <c r="J509">
        <v>273</v>
      </c>
      <c r="K509" t="s">
        <v>29</v>
      </c>
    </row>
    <row r="510" spans="1:11" x14ac:dyDescent="0.3">
      <c r="A510" t="s">
        <v>541</v>
      </c>
      <c r="B510" s="1">
        <v>43297</v>
      </c>
      <c r="C510" t="s">
        <v>20</v>
      </c>
      <c r="D510" t="s">
        <v>17</v>
      </c>
      <c r="E510">
        <v>7</v>
      </c>
      <c r="F510">
        <v>230</v>
      </c>
      <c r="G510">
        <v>1610</v>
      </c>
      <c r="H510">
        <v>0.05</v>
      </c>
      <c r="I510">
        <v>80.5</v>
      </c>
      <c r="J510">
        <v>1530</v>
      </c>
      <c r="K510" t="s">
        <v>33</v>
      </c>
    </row>
    <row r="511" spans="1:11" x14ac:dyDescent="0.3">
      <c r="A511" t="s">
        <v>542</v>
      </c>
      <c r="B511" s="1">
        <v>43298</v>
      </c>
      <c r="C511" t="s">
        <v>35</v>
      </c>
      <c r="D511" t="s">
        <v>25</v>
      </c>
      <c r="E511">
        <v>9</v>
      </c>
      <c r="F511">
        <v>150</v>
      </c>
      <c r="G511">
        <v>1350</v>
      </c>
      <c r="H511">
        <v>0.02</v>
      </c>
      <c r="I511">
        <v>27</v>
      </c>
      <c r="J511">
        <v>1323</v>
      </c>
      <c r="K511" t="s">
        <v>36</v>
      </c>
    </row>
    <row r="512" spans="1:11" x14ac:dyDescent="0.3">
      <c r="A512" t="s">
        <v>543</v>
      </c>
      <c r="B512" s="1">
        <v>43298</v>
      </c>
      <c r="C512" t="s">
        <v>16</v>
      </c>
      <c r="D512" t="s">
        <v>32</v>
      </c>
      <c r="E512">
        <v>3</v>
      </c>
      <c r="F512">
        <v>40</v>
      </c>
      <c r="G512">
        <v>120</v>
      </c>
      <c r="H512">
        <v>0.03</v>
      </c>
      <c r="I512">
        <v>3.5999999999999996</v>
      </c>
      <c r="J512">
        <v>116</v>
      </c>
      <c r="K512" t="s">
        <v>38</v>
      </c>
    </row>
    <row r="513" spans="1:11" x14ac:dyDescent="0.3">
      <c r="A513" t="s">
        <v>544</v>
      </c>
      <c r="B513" s="1">
        <v>43298</v>
      </c>
      <c r="C513" t="s">
        <v>12</v>
      </c>
      <c r="D513" t="s">
        <v>28</v>
      </c>
      <c r="E513">
        <v>2</v>
      </c>
      <c r="F513">
        <v>80</v>
      </c>
      <c r="G513">
        <v>160</v>
      </c>
      <c r="H513">
        <v>0.08</v>
      </c>
      <c r="I513">
        <v>12.8</v>
      </c>
      <c r="J513">
        <v>147</v>
      </c>
      <c r="K513" t="s">
        <v>40</v>
      </c>
    </row>
    <row r="514" spans="1:11" x14ac:dyDescent="0.3">
      <c r="A514" t="s">
        <v>545</v>
      </c>
      <c r="B514" s="1">
        <v>43298</v>
      </c>
      <c r="C514" t="s">
        <v>31</v>
      </c>
      <c r="D514" t="s">
        <v>32</v>
      </c>
      <c r="E514">
        <v>19</v>
      </c>
      <c r="F514">
        <v>16</v>
      </c>
      <c r="G514">
        <v>304</v>
      </c>
      <c r="H514">
        <v>0.02</v>
      </c>
      <c r="I514">
        <v>6.08</v>
      </c>
      <c r="J514">
        <v>298</v>
      </c>
      <c r="K514" t="s">
        <v>42</v>
      </c>
    </row>
    <row r="515" spans="1:11" x14ac:dyDescent="0.3">
      <c r="A515" t="s">
        <v>546</v>
      </c>
      <c r="B515" s="1">
        <v>43298</v>
      </c>
      <c r="C515" t="s">
        <v>31</v>
      </c>
      <c r="D515" t="s">
        <v>17</v>
      </c>
      <c r="E515">
        <v>21</v>
      </c>
      <c r="F515">
        <v>16</v>
      </c>
      <c r="G515">
        <v>336</v>
      </c>
      <c r="H515">
        <v>0.02</v>
      </c>
      <c r="I515">
        <v>6.72</v>
      </c>
      <c r="J515">
        <v>329</v>
      </c>
      <c r="K515" t="s">
        <v>44</v>
      </c>
    </row>
    <row r="516" spans="1:11" x14ac:dyDescent="0.3">
      <c r="A516" t="s">
        <v>547</v>
      </c>
      <c r="B516" s="1">
        <v>43298</v>
      </c>
      <c r="C516" t="s">
        <v>12</v>
      </c>
      <c r="D516" t="s">
        <v>28</v>
      </c>
      <c r="E516">
        <v>21</v>
      </c>
      <c r="F516">
        <v>80</v>
      </c>
      <c r="G516">
        <v>1680</v>
      </c>
      <c r="H516">
        <v>0.05</v>
      </c>
      <c r="I516">
        <v>84</v>
      </c>
      <c r="J516">
        <v>1596</v>
      </c>
      <c r="K516" t="s">
        <v>14</v>
      </c>
    </row>
    <row r="517" spans="1:11" x14ac:dyDescent="0.3">
      <c r="A517" t="s">
        <v>548</v>
      </c>
      <c r="B517" s="1">
        <v>43298</v>
      </c>
      <c r="C517" t="s">
        <v>20</v>
      </c>
      <c r="D517" t="s">
        <v>32</v>
      </c>
      <c r="E517">
        <v>3</v>
      </c>
      <c r="F517">
        <v>230</v>
      </c>
      <c r="G517">
        <v>690</v>
      </c>
      <c r="H517">
        <v>0.1</v>
      </c>
      <c r="I517">
        <v>69</v>
      </c>
      <c r="J517">
        <v>621</v>
      </c>
      <c r="K517" t="s">
        <v>18</v>
      </c>
    </row>
    <row r="518" spans="1:11" x14ac:dyDescent="0.3">
      <c r="A518" t="s">
        <v>549</v>
      </c>
      <c r="B518" s="1">
        <v>43298</v>
      </c>
      <c r="C518" t="s">
        <v>16</v>
      </c>
      <c r="D518" t="s">
        <v>25</v>
      </c>
      <c r="E518">
        <v>4</v>
      </c>
      <c r="F518">
        <v>40</v>
      </c>
      <c r="G518">
        <v>160</v>
      </c>
      <c r="H518">
        <v>0.11</v>
      </c>
      <c r="I518">
        <v>17.600000000000001</v>
      </c>
      <c r="J518">
        <v>142</v>
      </c>
      <c r="K518" t="s">
        <v>21</v>
      </c>
    </row>
    <row r="519" spans="1:11" x14ac:dyDescent="0.3">
      <c r="A519" t="s">
        <v>550</v>
      </c>
      <c r="B519" s="1">
        <v>43298</v>
      </c>
      <c r="C519" t="s">
        <v>35</v>
      </c>
      <c r="D519" t="s">
        <v>32</v>
      </c>
      <c r="E519">
        <v>7</v>
      </c>
      <c r="F519">
        <v>150</v>
      </c>
      <c r="G519">
        <v>1050</v>
      </c>
      <c r="H519">
        <v>0.03</v>
      </c>
      <c r="I519">
        <v>31.5</v>
      </c>
      <c r="J519">
        <v>1018</v>
      </c>
      <c r="K519" t="s">
        <v>23</v>
      </c>
    </row>
    <row r="520" spans="1:11" x14ac:dyDescent="0.3">
      <c r="A520" t="s">
        <v>551</v>
      </c>
      <c r="B520" s="1">
        <v>43298</v>
      </c>
      <c r="C520" t="s">
        <v>31</v>
      </c>
      <c r="D520" t="s">
        <v>25</v>
      </c>
      <c r="E520">
        <v>11</v>
      </c>
      <c r="F520">
        <v>16</v>
      </c>
      <c r="G520">
        <v>176</v>
      </c>
      <c r="H520">
        <v>0.12</v>
      </c>
      <c r="I520">
        <v>21.119999999999997</v>
      </c>
      <c r="J520">
        <v>155</v>
      </c>
      <c r="K520" t="s">
        <v>26</v>
      </c>
    </row>
    <row r="521" spans="1:11" x14ac:dyDescent="0.3">
      <c r="A521" t="s">
        <v>552</v>
      </c>
      <c r="B521" s="1">
        <v>43298</v>
      </c>
      <c r="C521" t="s">
        <v>12</v>
      </c>
      <c r="D521" t="s">
        <v>13</v>
      </c>
      <c r="E521">
        <v>17</v>
      </c>
      <c r="F521">
        <v>80</v>
      </c>
      <c r="G521">
        <v>1360</v>
      </c>
      <c r="H521">
        <v>7.0000000000000007E-2</v>
      </c>
      <c r="I521">
        <v>95.2</v>
      </c>
      <c r="J521">
        <v>1265</v>
      </c>
      <c r="K521" t="s">
        <v>29</v>
      </c>
    </row>
    <row r="522" spans="1:11" x14ac:dyDescent="0.3">
      <c r="A522" t="s">
        <v>553</v>
      </c>
      <c r="B522" s="1">
        <v>43298</v>
      </c>
      <c r="C522" t="s">
        <v>31</v>
      </c>
      <c r="D522" t="s">
        <v>28</v>
      </c>
      <c r="E522">
        <v>5</v>
      </c>
      <c r="F522">
        <v>16</v>
      </c>
      <c r="G522">
        <v>80</v>
      </c>
      <c r="H522">
        <v>0.09</v>
      </c>
      <c r="I522">
        <v>7.1999999999999993</v>
      </c>
      <c r="J522">
        <v>73</v>
      </c>
      <c r="K522" t="s">
        <v>33</v>
      </c>
    </row>
    <row r="523" spans="1:11" x14ac:dyDescent="0.3">
      <c r="A523" t="s">
        <v>554</v>
      </c>
      <c r="B523" s="1">
        <v>43298</v>
      </c>
      <c r="C523" t="s">
        <v>31</v>
      </c>
      <c r="D523" t="s">
        <v>32</v>
      </c>
      <c r="E523">
        <v>13</v>
      </c>
      <c r="F523">
        <v>16</v>
      </c>
      <c r="G523">
        <v>208</v>
      </c>
      <c r="H523">
        <v>7.0000000000000007E-2</v>
      </c>
      <c r="I523">
        <v>14.560000000000002</v>
      </c>
      <c r="J523">
        <v>193</v>
      </c>
      <c r="K523" t="s">
        <v>36</v>
      </c>
    </row>
    <row r="524" spans="1:11" x14ac:dyDescent="0.3">
      <c r="A524" t="s">
        <v>555</v>
      </c>
      <c r="B524" s="1">
        <v>43298</v>
      </c>
      <c r="C524" t="s">
        <v>12</v>
      </c>
      <c r="D524" t="s">
        <v>32</v>
      </c>
      <c r="E524">
        <v>9</v>
      </c>
      <c r="F524">
        <v>80</v>
      </c>
      <c r="G524">
        <v>720</v>
      </c>
      <c r="H524">
        <v>0.02</v>
      </c>
      <c r="I524">
        <v>14.4</v>
      </c>
      <c r="J524">
        <v>706</v>
      </c>
      <c r="K524" t="s">
        <v>38</v>
      </c>
    </row>
    <row r="525" spans="1:11" x14ac:dyDescent="0.3">
      <c r="A525" t="s">
        <v>556</v>
      </c>
      <c r="B525" s="1">
        <v>43299</v>
      </c>
      <c r="C525" t="s">
        <v>12</v>
      </c>
      <c r="D525" t="s">
        <v>32</v>
      </c>
      <c r="E525">
        <v>9</v>
      </c>
      <c r="F525">
        <v>80</v>
      </c>
      <c r="G525">
        <v>720</v>
      </c>
      <c r="H525">
        <v>0.02</v>
      </c>
      <c r="I525">
        <v>14.4</v>
      </c>
      <c r="J525">
        <v>706</v>
      </c>
      <c r="K525" t="s">
        <v>40</v>
      </c>
    </row>
    <row r="526" spans="1:11" x14ac:dyDescent="0.3">
      <c r="A526" t="s">
        <v>557</v>
      </c>
      <c r="B526" s="1">
        <v>43299</v>
      </c>
      <c r="C526" t="s">
        <v>12</v>
      </c>
      <c r="D526" t="s">
        <v>28</v>
      </c>
      <c r="E526">
        <v>22</v>
      </c>
      <c r="F526">
        <v>80</v>
      </c>
      <c r="G526">
        <v>1760</v>
      </c>
      <c r="H526">
        <v>0.03</v>
      </c>
      <c r="I526">
        <v>52.8</v>
      </c>
      <c r="J526">
        <v>1707</v>
      </c>
      <c r="K526" t="s">
        <v>42</v>
      </c>
    </row>
    <row r="527" spans="1:11" x14ac:dyDescent="0.3">
      <c r="A527" t="s">
        <v>558</v>
      </c>
      <c r="B527" s="1">
        <v>43299</v>
      </c>
      <c r="C527" t="s">
        <v>35</v>
      </c>
      <c r="D527" t="s">
        <v>13</v>
      </c>
      <c r="E527">
        <v>13</v>
      </c>
      <c r="F527">
        <v>150</v>
      </c>
      <c r="G527">
        <v>1950</v>
      </c>
      <c r="H527">
        <v>0.05</v>
      </c>
      <c r="I527">
        <v>97.5</v>
      </c>
      <c r="J527">
        <v>1852</v>
      </c>
      <c r="K527" t="s">
        <v>44</v>
      </c>
    </row>
    <row r="528" spans="1:11" x14ac:dyDescent="0.3">
      <c r="A528" t="s">
        <v>559</v>
      </c>
      <c r="B528" s="1">
        <v>43299</v>
      </c>
      <c r="C528" t="s">
        <v>12</v>
      </c>
      <c r="D528" t="s">
        <v>13</v>
      </c>
      <c r="E528">
        <v>14</v>
      </c>
      <c r="F528">
        <v>80</v>
      </c>
      <c r="G528">
        <v>1120</v>
      </c>
      <c r="H528">
        <v>0.08</v>
      </c>
      <c r="I528">
        <v>89.600000000000009</v>
      </c>
      <c r="J528">
        <v>1030</v>
      </c>
      <c r="K528" t="s">
        <v>14</v>
      </c>
    </row>
    <row r="529" spans="1:11" x14ac:dyDescent="0.3">
      <c r="A529" t="s">
        <v>560</v>
      </c>
      <c r="B529" s="1">
        <v>43299</v>
      </c>
      <c r="C529" t="s">
        <v>12</v>
      </c>
      <c r="D529" t="s">
        <v>13</v>
      </c>
      <c r="E529">
        <v>6</v>
      </c>
      <c r="F529">
        <v>80</v>
      </c>
      <c r="G529">
        <v>480</v>
      </c>
      <c r="H529">
        <v>7.0000000000000007E-2</v>
      </c>
      <c r="I529">
        <v>33.6</v>
      </c>
      <c r="J529">
        <v>446</v>
      </c>
      <c r="K529" t="s">
        <v>18</v>
      </c>
    </row>
    <row r="530" spans="1:11" x14ac:dyDescent="0.3">
      <c r="A530" t="s">
        <v>561</v>
      </c>
      <c r="B530" s="1">
        <v>43299</v>
      </c>
      <c r="C530" t="s">
        <v>12</v>
      </c>
      <c r="D530" t="s">
        <v>13</v>
      </c>
      <c r="E530">
        <v>16</v>
      </c>
      <c r="F530">
        <v>80</v>
      </c>
      <c r="G530">
        <v>1280</v>
      </c>
      <c r="H530">
        <v>0.03</v>
      </c>
      <c r="I530">
        <v>38.4</v>
      </c>
      <c r="J530">
        <v>1242</v>
      </c>
      <c r="K530" t="s">
        <v>21</v>
      </c>
    </row>
    <row r="531" spans="1:11" x14ac:dyDescent="0.3">
      <c r="A531" t="s">
        <v>562</v>
      </c>
      <c r="B531" s="1">
        <v>43299</v>
      </c>
      <c r="C531" t="s">
        <v>35</v>
      </c>
      <c r="D531" t="s">
        <v>25</v>
      </c>
      <c r="E531">
        <v>22</v>
      </c>
      <c r="F531">
        <v>150</v>
      </c>
      <c r="G531">
        <v>3300</v>
      </c>
      <c r="H531">
        <v>0.09</v>
      </c>
      <c r="I531">
        <v>297</v>
      </c>
      <c r="J531">
        <v>3003</v>
      </c>
      <c r="K531" t="s">
        <v>23</v>
      </c>
    </row>
    <row r="532" spans="1:11" x14ac:dyDescent="0.3">
      <c r="A532" t="s">
        <v>563</v>
      </c>
      <c r="B532" s="1">
        <v>43299</v>
      </c>
      <c r="C532" t="s">
        <v>35</v>
      </c>
      <c r="D532" t="s">
        <v>28</v>
      </c>
      <c r="E532">
        <v>4</v>
      </c>
      <c r="F532">
        <v>150</v>
      </c>
      <c r="G532">
        <v>600</v>
      </c>
      <c r="H532">
        <v>0.12</v>
      </c>
      <c r="I532">
        <v>72</v>
      </c>
      <c r="J532">
        <v>528</v>
      </c>
      <c r="K532" t="s">
        <v>26</v>
      </c>
    </row>
    <row r="533" spans="1:11" x14ac:dyDescent="0.3">
      <c r="A533" t="s">
        <v>564</v>
      </c>
      <c r="B533" s="1">
        <v>43299</v>
      </c>
      <c r="C533" t="s">
        <v>20</v>
      </c>
      <c r="D533" t="s">
        <v>32</v>
      </c>
      <c r="E533">
        <v>7</v>
      </c>
      <c r="F533">
        <v>230</v>
      </c>
      <c r="G533">
        <v>1610</v>
      </c>
      <c r="H533">
        <v>0.05</v>
      </c>
      <c r="I533">
        <v>80.5</v>
      </c>
      <c r="J533">
        <v>1530</v>
      </c>
      <c r="K533" t="s">
        <v>29</v>
      </c>
    </row>
    <row r="534" spans="1:11" x14ac:dyDescent="0.3">
      <c r="A534" t="s">
        <v>565</v>
      </c>
      <c r="B534" s="1">
        <v>43299</v>
      </c>
      <c r="C534" t="s">
        <v>35</v>
      </c>
      <c r="D534" t="s">
        <v>28</v>
      </c>
      <c r="E534">
        <v>20</v>
      </c>
      <c r="F534">
        <v>150</v>
      </c>
      <c r="G534">
        <v>3000</v>
      </c>
      <c r="H534">
        <v>0.1</v>
      </c>
      <c r="I534">
        <v>300</v>
      </c>
      <c r="J534">
        <v>2700</v>
      </c>
      <c r="K534" t="s">
        <v>33</v>
      </c>
    </row>
    <row r="535" spans="1:11" x14ac:dyDescent="0.3">
      <c r="A535" t="s">
        <v>566</v>
      </c>
      <c r="B535" s="1">
        <v>43299</v>
      </c>
      <c r="C535" t="s">
        <v>20</v>
      </c>
      <c r="D535" t="s">
        <v>28</v>
      </c>
      <c r="E535">
        <v>8</v>
      </c>
      <c r="F535">
        <v>230</v>
      </c>
      <c r="G535">
        <v>1840</v>
      </c>
      <c r="H535">
        <v>0.05</v>
      </c>
      <c r="I535">
        <v>92</v>
      </c>
      <c r="J535">
        <v>1748</v>
      </c>
      <c r="K535" t="s">
        <v>36</v>
      </c>
    </row>
    <row r="536" spans="1:11" x14ac:dyDescent="0.3">
      <c r="A536" t="s">
        <v>567</v>
      </c>
      <c r="B536" s="1">
        <v>43300</v>
      </c>
      <c r="C536" t="s">
        <v>16</v>
      </c>
      <c r="D536" t="s">
        <v>28</v>
      </c>
      <c r="E536">
        <v>9</v>
      </c>
      <c r="F536">
        <v>40</v>
      </c>
      <c r="G536">
        <v>360</v>
      </c>
      <c r="H536">
        <v>0.06</v>
      </c>
      <c r="I536">
        <v>21.599999999999998</v>
      </c>
      <c r="J536">
        <v>338</v>
      </c>
      <c r="K536" t="s">
        <v>38</v>
      </c>
    </row>
    <row r="537" spans="1:11" x14ac:dyDescent="0.3">
      <c r="A537" t="s">
        <v>568</v>
      </c>
      <c r="B537" s="1">
        <v>43300</v>
      </c>
      <c r="C537" t="s">
        <v>20</v>
      </c>
      <c r="D537" t="s">
        <v>28</v>
      </c>
      <c r="E537">
        <v>19</v>
      </c>
      <c r="F537">
        <v>230</v>
      </c>
      <c r="G537">
        <v>4370</v>
      </c>
      <c r="H537">
        <v>0.06</v>
      </c>
      <c r="I537">
        <v>262.2</v>
      </c>
      <c r="J537">
        <v>4108</v>
      </c>
      <c r="K537" t="s">
        <v>40</v>
      </c>
    </row>
    <row r="538" spans="1:11" x14ac:dyDescent="0.3">
      <c r="A538" t="s">
        <v>569</v>
      </c>
      <c r="B538" s="1">
        <v>43300</v>
      </c>
      <c r="C538" t="s">
        <v>16</v>
      </c>
      <c r="D538" t="s">
        <v>28</v>
      </c>
      <c r="E538">
        <v>22</v>
      </c>
      <c r="F538">
        <v>40</v>
      </c>
      <c r="G538">
        <v>880</v>
      </c>
      <c r="H538">
        <v>0.01</v>
      </c>
      <c r="I538">
        <v>8.8000000000000007</v>
      </c>
      <c r="J538">
        <v>871</v>
      </c>
      <c r="K538" t="s">
        <v>42</v>
      </c>
    </row>
    <row r="539" spans="1:11" x14ac:dyDescent="0.3">
      <c r="A539" t="s">
        <v>570</v>
      </c>
      <c r="B539" s="1">
        <v>43300</v>
      </c>
      <c r="C539" t="s">
        <v>16</v>
      </c>
      <c r="D539" t="s">
        <v>13</v>
      </c>
      <c r="E539">
        <v>22</v>
      </c>
      <c r="F539">
        <v>40</v>
      </c>
      <c r="G539">
        <v>880</v>
      </c>
      <c r="H539">
        <v>0.02</v>
      </c>
      <c r="I539">
        <v>17.600000000000001</v>
      </c>
      <c r="J539">
        <v>862</v>
      </c>
      <c r="K539" t="s">
        <v>44</v>
      </c>
    </row>
    <row r="540" spans="1:11" x14ac:dyDescent="0.3">
      <c r="A540" t="s">
        <v>571</v>
      </c>
      <c r="B540" s="1">
        <v>43300</v>
      </c>
      <c r="C540" t="s">
        <v>12</v>
      </c>
      <c r="D540" t="s">
        <v>32</v>
      </c>
      <c r="E540">
        <v>10</v>
      </c>
      <c r="F540">
        <v>80</v>
      </c>
      <c r="G540">
        <v>800</v>
      </c>
      <c r="H540">
        <v>0.06</v>
      </c>
      <c r="I540">
        <v>48</v>
      </c>
      <c r="J540">
        <v>752</v>
      </c>
      <c r="K540" t="s">
        <v>14</v>
      </c>
    </row>
    <row r="541" spans="1:11" x14ac:dyDescent="0.3">
      <c r="A541" t="s">
        <v>572</v>
      </c>
      <c r="B541" s="1">
        <v>43300</v>
      </c>
      <c r="C541" t="s">
        <v>16</v>
      </c>
      <c r="D541" t="s">
        <v>28</v>
      </c>
      <c r="E541">
        <v>7</v>
      </c>
      <c r="F541">
        <v>40</v>
      </c>
      <c r="G541">
        <v>280</v>
      </c>
      <c r="H541">
        <v>0.11</v>
      </c>
      <c r="I541">
        <v>30.8</v>
      </c>
      <c r="J541">
        <v>249</v>
      </c>
      <c r="K541" t="s">
        <v>18</v>
      </c>
    </row>
    <row r="542" spans="1:11" x14ac:dyDescent="0.3">
      <c r="A542" t="s">
        <v>573</v>
      </c>
      <c r="B542" s="1">
        <v>43300</v>
      </c>
      <c r="C542" t="s">
        <v>20</v>
      </c>
      <c r="D542" t="s">
        <v>13</v>
      </c>
      <c r="E542">
        <v>7</v>
      </c>
      <c r="F542">
        <v>230</v>
      </c>
      <c r="G542">
        <v>1610</v>
      </c>
      <c r="H542">
        <v>0.08</v>
      </c>
      <c r="I542">
        <v>128.80000000000001</v>
      </c>
      <c r="J542">
        <v>1481</v>
      </c>
      <c r="K542" t="s">
        <v>21</v>
      </c>
    </row>
    <row r="543" spans="1:11" x14ac:dyDescent="0.3">
      <c r="A543" t="s">
        <v>574</v>
      </c>
      <c r="B543" s="1">
        <v>43300</v>
      </c>
      <c r="C543" t="s">
        <v>31</v>
      </c>
      <c r="D543" t="s">
        <v>13</v>
      </c>
      <c r="E543">
        <v>18</v>
      </c>
      <c r="F543">
        <v>16</v>
      </c>
      <c r="G543">
        <v>288</v>
      </c>
      <c r="H543">
        <v>0.11</v>
      </c>
      <c r="I543">
        <v>31.68</v>
      </c>
      <c r="J543">
        <v>256</v>
      </c>
      <c r="K543" t="s">
        <v>23</v>
      </c>
    </row>
    <row r="544" spans="1:11" x14ac:dyDescent="0.3">
      <c r="A544" t="s">
        <v>575</v>
      </c>
      <c r="B544" s="1">
        <v>43300</v>
      </c>
      <c r="C544" t="s">
        <v>20</v>
      </c>
      <c r="D544" t="s">
        <v>25</v>
      </c>
      <c r="E544">
        <v>14</v>
      </c>
      <c r="F544">
        <v>230</v>
      </c>
      <c r="G544">
        <v>3220</v>
      </c>
      <c r="H544">
        <v>0.12</v>
      </c>
      <c r="I544">
        <v>386.4</v>
      </c>
      <c r="J544">
        <v>2834</v>
      </c>
      <c r="K544" t="s">
        <v>26</v>
      </c>
    </row>
    <row r="545" spans="1:11" x14ac:dyDescent="0.3">
      <c r="A545" t="s">
        <v>576</v>
      </c>
      <c r="B545" s="1">
        <v>43300</v>
      </c>
      <c r="C545" t="s">
        <v>16</v>
      </c>
      <c r="D545" t="s">
        <v>17</v>
      </c>
      <c r="E545">
        <v>21</v>
      </c>
      <c r="F545">
        <v>40</v>
      </c>
      <c r="G545">
        <v>840</v>
      </c>
      <c r="H545">
        <v>0.03</v>
      </c>
      <c r="I545">
        <v>25.2</v>
      </c>
      <c r="J545">
        <v>815</v>
      </c>
      <c r="K545" t="s">
        <v>29</v>
      </c>
    </row>
    <row r="546" spans="1:11" x14ac:dyDescent="0.3">
      <c r="A546" t="s">
        <v>577</v>
      </c>
      <c r="B546" s="1">
        <v>43300</v>
      </c>
      <c r="C546" t="s">
        <v>35</v>
      </c>
      <c r="D546" t="s">
        <v>13</v>
      </c>
      <c r="E546">
        <v>3</v>
      </c>
      <c r="F546">
        <v>150</v>
      </c>
      <c r="G546">
        <v>450</v>
      </c>
      <c r="H546">
        <v>0.03</v>
      </c>
      <c r="I546">
        <v>13.5</v>
      </c>
      <c r="J546">
        <v>436</v>
      </c>
      <c r="K546" t="s">
        <v>33</v>
      </c>
    </row>
    <row r="547" spans="1:11" x14ac:dyDescent="0.3">
      <c r="A547" t="s">
        <v>578</v>
      </c>
      <c r="B547" s="1">
        <v>43300</v>
      </c>
      <c r="C547" t="s">
        <v>12</v>
      </c>
      <c r="D547" t="s">
        <v>13</v>
      </c>
      <c r="E547">
        <v>12</v>
      </c>
      <c r="F547">
        <v>80</v>
      </c>
      <c r="G547">
        <v>960</v>
      </c>
      <c r="H547">
        <v>0.04</v>
      </c>
      <c r="I547">
        <v>38.4</v>
      </c>
      <c r="J547">
        <v>922</v>
      </c>
      <c r="K547" t="s">
        <v>36</v>
      </c>
    </row>
    <row r="548" spans="1:11" x14ac:dyDescent="0.3">
      <c r="A548" t="s">
        <v>579</v>
      </c>
      <c r="B548" s="1">
        <v>43301</v>
      </c>
      <c r="C548" t="s">
        <v>35</v>
      </c>
      <c r="D548" t="s">
        <v>28</v>
      </c>
      <c r="E548">
        <v>6</v>
      </c>
      <c r="F548">
        <v>150</v>
      </c>
      <c r="G548">
        <v>900</v>
      </c>
      <c r="H548">
        <v>0.03</v>
      </c>
      <c r="I548">
        <v>27</v>
      </c>
      <c r="J548">
        <v>873</v>
      </c>
      <c r="K548" t="s">
        <v>38</v>
      </c>
    </row>
    <row r="549" spans="1:11" x14ac:dyDescent="0.3">
      <c r="A549" t="s">
        <v>580</v>
      </c>
      <c r="B549" s="1">
        <v>43301</v>
      </c>
      <c r="C549" t="s">
        <v>16</v>
      </c>
      <c r="D549" t="s">
        <v>25</v>
      </c>
      <c r="E549">
        <v>20</v>
      </c>
      <c r="F549">
        <v>40</v>
      </c>
      <c r="G549">
        <v>800</v>
      </c>
      <c r="H549">
        <v>0.01</v>
      </c>
      <c r="I549">
        <v>8</v>
      </c>
      <c r="J549">
        <v>792</v>
      </c>
      <c r="K549" t="s">
        <v>40</v>
      </c>
    </row>
    <row r="550" spans="1:11" x14ac:dyDescent="0.3">
      <c r="A550" t="s">
        <v>581</v>
      </c>
      <c r="B550" s="1">
        <v>43301</v>
      </c>
      <c r="C550" t="s">
        <v>20</v>
      </c>
      <c r="D550" t="s">
        <v>13</v>
      </c>
      <c r="E550">
        <v>3</v>
      </c>
      <c r="F550">
        <v>230</v>
      </c>
      <c r="G550">
        <v>690</v>
      </c>
      <c r="H550">
        <v>0.06</v>
      </c>
      <c r="I550">
        <v>41.4</v>
      </c>
      <c r="J550">
        <v>649</v>
      </c>
      <c r="K550" t="s">
        <v>33</v>
      </c>
    </row>
    <row r="551" spans="1:11" x14ac:dyDescent="0.3">
      <c r="A551" t="s">
        <v>582</v>
      </c>
      <c r="B551" s="1">
        <v>43301</v>
      </c>
      <c r="C551" t="s">
        <v>20</v>
      </c>
      <c r="D551" t="s">
        <v>28</v>
      </c>
      <c r="E551">
        <v>3</v>
      </c>
      <c r="F551">
        <v>230</v>
      </c>
      <c r="G551">
        <v>690</v>
      </c>
      <c r="H551">
        <v>0.01</v>
      </c>
      <c r="I551">
        <v>6.9</v>
      </c>
      <c r="J551">
        <v>683</v>
      </c>
      <c r="K551" t="s">
        <v>36</v>
      </c>
    </row>
    <row r="552" spans="1:11" x14ac:dyDescent="0.3">
      <c r="A552" t="s">
        <v>583</v>
      </c>
      <c r="B552" s="1">
        <v>43301</v>
      </c>
      <c r="C552" t="s">
        <v>16</v>
      </c>
      <c r="D552" t="s">
        <v>13</v>
      </c>
      <c r="E552">
        <v>20</v>
      </c>
      <c r="F552">
        <v>40</v>
      </c>
      <c r="G552">
        <v>800</v>
      </c>
      <c r="H552">
        <v>0.04</v>
      </c>
      <c r="I552">
        <v>32</v>
      </c>
      <c r="J552">
        <v>768</v>
      </c>
      <c r="K552" t="s">
        <v>38</v>
      </c>
    </row>
    <row r="553" spans="1:11" x14ac:dyDescent="0.3">
      <c r="A553" t="s">
        <v>584</v>
      </c>
      <c r="B553" s="1">
        <v>43301</v>
      </c>
      <c r="C553" t="s">
        <v>12</v>
      </c>
      <c r="D553" t="s">
        <v>25</v>
      </c>
      <c r="E553">
        <v>16</v>
      </c>
      <c r="F553">
        <v>80</v>
      </c>
      <c r="G553">
        <v>1280</v>
      </c>
      <c r="H553">
        <v>0.02</v>
      </c>
      <c r="I553">
        <v>25.6</v>
      </c>
      <c r="J553">
        <v>1254</v>
      </c>
      <c r="K553" t="s">
        <v>40</v>
      </c>
    </row>
    <row r="554" spans="1:11" x14ac:dyDescent="0.3">
      <c r="A554" t="s">
        <v>585</v>
      </c>
      <c r="B554" s="1">
        <v>43301</v>
      </c>
      <c r="C554" t="s">
        <v>35</v>
      </c>
      <c r="D554" t="s">
        <v>13</v>
      </c>
      <c r="E554">
        <v>8</v>
      </c>
      <c r="F554">
        <v>150</v>
      </c>
      <c r="G554">
        <v>1200</v>
      </c>
      <c r="H554">
        <v>0.09</v>
      </c>
      <c r="I554">
        <v>108</v>
      </c>
      <c r="J554">
        <v>1092</v>
      </c>
      <c r="K554" t="s">
        <v>33</v>
      </c>
    </row>
    <row r="555" spans="1:11" x14ac:dyDescent="0.3">
      <c r="A555" t="s">
        <v>586</v>
      </c>
      <c r="B555" s="1">
        <v>43302</v>
      </c>
      <c r="C555" t="s">
        <v>20</v>
      </c>
      <c r="D555" t="s">
        <v>17</v>
      </c>
      <c r="E555">
        <v>7</v>
      </c>
      <c r="F555">
        <v>230</v>
      </c>
      <c r="G555">
        <v>1610</v>
      </c>
      <c r="H555">
        <v>0.01</v>
      </c>
      <c r="I555">
        <v>16.100000000000001</v>
      </c>
      <c r="J555">
        <v>1594</v>
      </c>
      <c r="K555" t="s">
        <v>36</v>
      </c>
    </row>
    <row r="556" spans="1:11" x14ac:dyDescent="0.3">
      <c r="A556" t="s">
        <v>587</v>
      </c>
      <c r="B556" s="1">
        <v>43302</v>
      </c>
      <c r="C556" t="s">
        <v>35</v>
      </c>
      <c r="D556" t="s">
        <v>17</v>
      </c>
      <c r="E556">
        <v>23</v>
      </c>
      <c r="F556">
        <v>150</v>
      </c>
      <c r="G556">
        <v>3450</v>
      </c>
      <c r="H556">
        <v>0.11</v>
      </c>
      <c r="I556">
        <v>379.5</v>
      </c>
      <c r="J556">
        <v>3070</v>
      </c>
      <c r="K556" t="s">
        <v>38</v>
      </c>
    </row>
    <row r="557" spans="1:11" x14ac:dyDescent="0.3">
      <c r="A557" t="s">
        <v>588</v>
      </c>
      <c r="B557" s="1">
        <v>43302</v>
      </c>
      <c r="C557" t="s">
        <v>16</v>
      </c>
      <c r="D557" t="s">
        <v>32</v>
      </c>
      <c r="E557">
        <v>16</v>
      </c>
      <c r="F557">
        <v>40</v>
      </c>
      <c r="G557">
        <v>640</v>
      </c>
      <c r="H557">
        <v>0.09</v>
      </c>
      <c r="I557">
        <v>57.599999999999994</v>
      </c>
      <c r="J557">
        <v>582</v>
      </c>
      <c r="K557" t="s">
        <v>40</v>
      </c>
    </row>
    <row r="558" spans="1:11" x14ac:dyDescent="0.3">
      <c r="A558" t="s">
        <v>589</v>
      </c>
      <c r="B558" s="1">
        <v>43302</v>
      </c>
      <c r="C558" t="s">
        <v>16</v>
      </c>
      <c r="D558" t="s">
        <v>32</v>
      </c>
      <c r="E558">
        <v>20</v>
      </c>
      <c r="F558">
        <v>40</v>
      </c>
      <c r="G558">
        <v>800</v>
      </c>
      <c r="H558">
        <v>0.1</v>
      </c>
      <c r="I558">
        <v>80</v>
      </c>
      <c r="J558">
        <v>720</v>
      </c>
      <c r="K558" t="s">
        <v>33</v>
      </c>
    </row>
    <row r="559" spans="1:11" x14ac:dyDescent="0.3">
      <c r="A559" t="s">
        <v>590</v>
      </c>
      <c r="B559" s="1">
        <v>43302</v>
      </c>
      <c r="C559" t="s">
        <v>16</v>
      </c>
      <c r="D559" t="s">
        <v>17</v>
      </c>
      <c r="E559">
        <v>18</v>
      </c>
      <c r="F559">
        <v>40</v>
      </c>
      <c r="G559">
        <v>720</v>
      </c>
      <c r="H559">
        <v>0.08</v>
      </c>
      <c r="I559">
        <v>57.6</v>
      </c>
      <c r="J559">
        <v>662</v>
      </c>
      <c r="K559" t="s">
        <v>36</v>
      </c>
    </row>
    <row r="560" spans="1:11" x14ac:dyDescent="0.3">
      <c r="A560" t="s">
        <v>591</v>
      </c>
      <c r="B560" s="1">
        <v>43302</v>
      </c>
      <c r="C560" t="s">
        <v>12</v>
      </c>
      <c r="D560" t="s">
        <v>32</v>
      </c>
      <c r="E560">
        <v>22</v>
      </c>
      <c r="F560">
        <v>80</v>
      </c>
      <c r="G560">
        <v>1760</v>
      </c>
      <c r="H560">
        <v>0.09</v>
      </c>
      <c r="I560">
        <v>158.4</v>
      </c>
      <c r="J560">
        <v>1602</v>
      </c>
      <c r="K560" t="s">
        <v>38</v>
      </c>
    </row>
    <row r="561" spans="1:11" x14ac:dyDescent="0.3">
      <c r="A561" t="s">
        <v>592</v>
      </c>
      <c r="B561" s="1">
        <v>43302</v>
      </c>
      <c r="C561" t="s">
        <v>35</v>
      </c>
      <c r="D561" t="s">
        <v>17</v>
      </c>
      <c r="E561">
        <v>22</v>
      </c>
      <c r="F561">
        <v>150</v>
      </c>
      <c r="G561">
        <v>3300</v>
      </c>
      <c r="H561">
        <v>0.02</v>
      </c>
      <c r="I561">
        <v>66</v>
      </c>
      <c r="J561">
        <v>3234</v>
      </c>
      <c r="K561" t="s">
        <v>40</v>
      </c>
    </row>
    <row r="562" spans="1:11" x14ac:dyDescent="0.3">
      <c r="A562" t="s">
        <v>593</v>
      </c>
      <c r="B562" s="1">
        <v>43302</v>
      </c>
      <c r="C562" t="s">
        <v>35</v>
      </c>
      <c r="D562" t="s">
        <v>17</v>
      </c>
      <c r="E562">
        <v>20</v>
      </c>
      <c r="F562">
        <v>150</v>
      </c>
      <c r="G562">
        <v>3000</v>
      </c>
      <c r="H562">
        <v>0.09</v>
      </c>
      <c r="I562">
        <v>270</v>
      </c>
      <c r="J562">
        <v>2730</v>
      </c>
      <c r="K562" t="s">
        <v>33</v>
      </c>
    </row>
    <row r="563" spans="1:11" x14ac:dyDescent="0.3">
      <c r="A563" t="s">
        <v>594</v>
      </c>
      <c r="B563" s="1">
        <v>43302</v>
      </c>
      <c r="C563" t="s">
        <v>31</v>
      </c>
      <c r="D563" t="s">
        <v>13</v>
      </c>
      <c r="E563">
        <v>10</v>
      </c>
      <c r="F563">
        <v>16</v>
      </c>
      <c r="G563">
        <v>160</v>
      </c>
      <c r="H563">
        <v>0.08</v>
      </c>
      <c r="I563">
        <v>12.8</v>
      </c>
      <c r="J563">
        <v>147</v>
      </c>
      <c r="K563" t="s">
        <v>36</v>
      </c>
    </row>
    <row r="564" spans="1:11" x14ac:dyDescent="0.3">
      <c r="A564" t="s">
        <v>595</v>
      </c>
      <c r="B564" s="1">
        <v>43302</v>
      </c>
      <c r="C564" t="s">
        <v>16</v>
      </c>
      <c r="D564" t="s">
        <v>25</v>
      </c>
      <c r="E564">
        <v>12</v>
      </c>
      <c r="F564">
        <v>40</v>
      </c>
      <c r="G564">
        <v>480</v>
      </c>
      <c r="H564">
        <v>0.02</v>
      </c>
      <c r="I564">
        <v>9.6</v>
      </c>
      <c r="J564">
        <v>470</v>
      </c>
      <c r="K564" t="s">
        <v>38</v>
      </c>
    </row>
    <row r="565" spans="1:11" x14ac:dyDescent="0.3">
      <c r="A565" t="s">
        <v>596</v>
      </c>
      <c r="B565" s="1">
        <v>43302</v>
      </c>
      <c r="C565" t="s">
        <v>35</v>
      </c>
      <c r="D565" t="s">
        <v>13</v>
      </c>
      <c r="E565">
        <v>4</v>
      </c>
      <c r="F565">
        <v>150</v>
      </c>
      <c r="G565">
        <v>600</v>
      </c>
      <c r="H565">
        <v>0.1</v>
      </c>
      <c r="I565">
        <v>60</v>
      </c>
      <c r="J565">
        <v>540</v>
      </c>
      <c r="K565" t="s">
        <v>40</v>
      </c>
    </row>
    <row r="566" spans="1:11" x14ac:dyDescent="0.3">
      <c r="A566" t="s">
        <v>597</v>
      </c>
      <c r="B566" s="1">
        <v>43302</v>
      </c>
      <c r="C566" t="s">
        <v>12</v>
      </c>
      <c r="D566" t="s">
        <v>25</v>
      </c>
      <c r="E566">
        <v>5</v>
      </c>
      <c r="F566">
        <v>80</v>
      </c>
      <c r="G566">
        <v>400</v>
      </c>
      <c r="H566">
        <v>0.09</v>
      </c>
      <c r="I566">
        <v>36</v>
      </c>
      <c r="J566">
        <v>364</v>
      </c>
      <c r="K566" t="s">
        <v>33</v>
      </c>
    </row>
    <row r="567" spans="1:11" x14ac:dyDescent="0.3">
      <c r="A567" t="s">
        <v>598</v>
      </c>
      <c r="B567" s="1">
        <v>43302</v>
      </c>
      <c r="C567" t="s">
        <v>16</v>
      </c>
      <c r="D567" t="s">
        <v>13</v>
      </c>
      <c r="E567">
        <v>11</v>
      </c>
      <c r="F567">
        <v>40</v>
      </c>
      <c r="G567">
        <v>440</v>
      </c>
      <c r="H567">
        <v>0.04</v>
      </c>
      <c r="I567">
        <v>17.600000000000001</v>
      </c>
      <c r="J567">
        <v>422</v>
      </c>
      <c r="K567" t="s">
        <v>36</v>
      </c>
    </row>
    <row r="568" spans="1:11" x14ac:dyDescent="0.3">
      <c r="A568" t="s">
        <v>599</v>
      </c>
      <c r="B568" s="1">
        <v>43302</v>
      </c>
      <c r="C568" t="s">
        <v>35</v>
      </c>
      <c r="D568" t="s">
        <v>17</v>
      </c>
      <c r="E568">
        <v>13</v>
      </c>
      <c r="F568">
        <v>150</v>
      </c>
      <c r="G568">
        <v>1950</v>
      </c>
      <c r="H568">
        <v>0.08</v>
      </c>
      <c r="I568">
        <v>156</v>
      </c>
      <c r="J568">
        <v>1794</v>
      </c>
      <c r="K568" t="s">
        <v>38</v>
      </c>
    </row>
    <row r="569" spans="1:11" x14ac:dyDescent="0.3">
      <c r="A569" t="s">
        <v>600</v>
      </c>
      <c r="B569" s="1">
        <v>43302</v>
      </c>
      <c r="C569" t="s">
        <v>12</v>
      </c>
      <c r="D569" t="s">
        <v>28</v>
      </c>
      <c r="E569">
        <v>19</v>
      </c>
      <c r="F569">
        <v>80</v>
      </c>
      <c r="G569">
        <v>1520</v>
      </c>
      <c r="H569">
        <v>0.02</v>
      </c>
      <c r="I569">
        <v>30.400000000000002</v>
      </c>
      <c r="J569">
        <v>1490</v>
      </c>
      <c r="K569" t="s">
        <v>40</v>
      </c>
    </row>
    <row r="570" spans="1:11" x14ac:dyDescent="0.3">
      <c r="A570" t="s">
        <v>601</v>
      </c>
      <c r="B570" s="1">
        <v>43302</v>
      </c>
      <c r="C570" t="s">
        <v>20</v>
      </c>
      <c r="D570" t="s">
        <v>17</v>
      </c>
      <c r="E570">
        <v>7</v>
      </c>
      <c r="F570">
        <v>230</v>
      </c>
      <c r="G570">
        <v>1610</v>
      </c>
      <c r="H570">
        <v>0.01</v>
      </c>
      <c r="I570">
        <v>16.100000000000001</v>
      </c>
      <c r="J570">
        <v>1594</v>
      </c>
      <c r="K570" t="s">
        <v>33</v>
      </c>
    </row>
    <row r="571" spans="1:11" x14ac:dyDescent="0.3">
      <c r="A571" t="s">
        <v>602</v>
      </c>
      <c r="B571" s="1">
        <v>43303</v>
      </c>
      <c r="C571" t="s">
        <v>12</v>
      </c>
      <c r="D571" t="s">
        <v>32</v>
      </c>
      <c r="E571">
        <v>16</v>
      </c>
      <c r="F571">
        <v>80</v>
      </c>
      <c r="G571">
        <v>1280</v>
      </c>
      <c r="H571">
        <v>0.09</v>
      </c>
      <c r="I571">
        <v>115.19999999999999</v>
      </c>
      <c r="J571">
        <v>1165</v>
      </c>
      <c r="K571" t="s">
        <v>36</v>
      </c>
    </row>
    <row r="572" spans="1:11" x14ac:dyDescent="0.3">
      <c r="A572" t="s">
        <v>603</v>
      </c>
      <c r="B572" s="1">
        <v>43303</v>
      </c>
      <c r="C572" t="s">
        <v>20</v>
      </c>
      <c r="D572" t="s">
        <v>13</v>
      </c>
      <c r="E572">
        <v>7</v>
      </c>
      <c r="F572">
        <v>230</v>
      </c>
      <c r="G572">
        <v>1610</v>
      </c>
      <c r="H572">
        <v>0.02</v>
      </c>
      <c r="I572">
        <v>32.200000000000003</v>
      </c>
      <c r="J572">
        <v>1578</v>
      </c>
      <c r="K572" t="s">
        <v>38</v>
      </c>
    </row>
    <row r="573" spans="1:11" x14ac:dyDescent="0.3">
      <c r="A573" t="s">
        <v>604</v>
      </c>
      <c r="B573" s="1">
        <v>43303</v>
      </c>
      <c r="C573" t="s">
        <v>16</v>
      </c>
      <c r="D573" t="s">
        <v>13</v>
      </c>
      <c r="E573">
        <v>5</v>
      </c>
      <c r="F573">
        <v>40</v>
      </c>
      <c r="G573">
        <v>200</v>
      </c>
      <c r="H573">
        <v>0.06</v>
      </c>
      <c r="I573">
        <v>12</v>
      </c>
      <c r="J573">
        <v>188</v>
      </c>
      <c r="K573" t="s">
        <v>40</v>
      </c>
    </row>
    <row r="574" spans="1:11" x14ac:dyDescent="0.3">
      <c r="A574" t="s">
        <v>605</v>
      </c>
      <c r="B574" s="1">
        <v>43303</v>
      </c>
      <c r="C574" t="s">
        <v>35</v>
      </c>
      <c r="D574" t="s">
        <v>25</v>
      </c>
      <c r="E574">
        <v>9</v>
      </c>
      <c r="F574">
        <v>150</v>
      </c>
      <c r="G574">
        <v>1350</v>
      </c>
      <c r="H574">
        <v>0.06</v>
      </c>
      <c r="I574">
        <v>81</v>
      </c>
      <c r="J574">
        <v>1269</v>
      </c>
      <c r="K574" t="s">
        <v>33</v>
      </c>
    </row>
    <row r="575" spans="1:11" x14ac:dyDescent="0.3">
      <c r="A575" t="s">
        <v>606</v>
      </c>
      <c r="B575" s="1">
        <v>43303</v>
      </c>
      <c r="C575" t="s">
        <v>16</v>
      </c>
      <c r="D575" t="s">
        <v>32</v>
      </c>
      <c r="E575">
        <v>20</v>
      </c>
      <c r="F575">
        <v>40</v>
      </c>
      <c r="G575">
        <v>800</v>
      </c>
      <c r="H575">
        <v>7.0000000000000007E-2</v>
      </c>
      <c r="I575">
        <v>56.000000000000007</v>
      </c>
      <c r="J575">
        <v>744</v>
      </c>
      <c r="K575" t="s">
        <v>36</v>
      </c>
    </row>
    <row r="576" spans="1:11" x14ac:dyDescent="0.3">
      <c r="A576" t="s">
        <v>607</v>
      </c>
      <c r="B576" s="1">
        <v>43303</v>
      </c>
      <c r="C576" t="s">
        <v>31</v>
      </c>
      <c r="D576" t="s">
        <v>17</v>
      </c>
      <c r="E576">
        <v>20</v>
      </c>
      <c r="F576">
        <v>16</v>
      </c>
      <c r="G576">
        <v>320</v>
      </c>
      <c r="H576">
        <v>0.06</v>
      </c>
      <c r="I576">
        <v>19.2</v>
      </c>
      <c r="J576">
        <v>301</v>
      </c>
      <c r="K576" t="s">
        <v>38</v>
      </c>
    </row>
    <row r="577" spans="1:11" x14ac:dyDescent="0.3">
      <c r="A577" t="s">
        <v>608</v>
      </c>
      <c r="B577" s="1">
        <v>43303</v>
      </c>
      <c r="C577" t="s">
        <v>16</v>
      </c>
      <c r="D577" t="s">
        <v>32</v>
      </c>
      <c r="E577">
        <v>5</v>
      </c>
      <c r="F577">
        <v>40</v>
      </c>
      <c r="G577">
        <v>200</v>
      </c>
      <c r="H577">
        <v>0.03</v>
      </c>
      <c r="I577">
        <v>6</v>
      </c>
      <c r="J577">
        <v>194</v>
      </c>
      <c r="K577" t="s">
        <v>40</v>
      </c>
    </row>
    <row r="578" spans="1:11" x14ac:dyDescent="0.3">
      <c r="A578" t="s">
        <v>609</v>
      </c>
      <c r="B578" s="1">
        <v>43304</v>
      </c>
      <c r="C578" t="s">
        <v>12</v>
      </c>
      <c r="D578" t="s">
        <v>28</v>
      </c>
      <c r="E578">
        <v>7</v>
      </c>
      <c r="F578">
        <v>80</v>
      </c>
      <c r="G578">
        <v>560</v>
      </c>
      <c r="H578">
        <v>7.0000000000000007E-2</v>
      </c>
      <c r="I578">
        <v>39.200000000000003</v>
      </c>
      <c r="J578">
        <v>521</v>
      </c>
      <c r="K578" t="s">
        <v>33</v>
      </c>
    </row>
    <row r="579" spans="1:11" x14ac:dyDescent="0.3">
      <c r="A579" t="s">
        <v>610</v>
      </c>
      <c r="B579" s="1">
        <v>43304</v>
      </c>
      <c r="C579" t="s">
        <v>31</v>
      </c>
      <c r="D579" t="s">
        <v>32</v>
      </c>
      <c r="E579">
        <v>22</v>
      </c>
      <c r="F579">
        <v>16</v>
      </c>
      <c r="G579">
        <v>352</v>
      </c>
      <c r="H579">
        <v>0.12</v>
      </c>
      <c r="I579">
        <v>42.239999999999995</v>
      </c>
      <c r="J579">
        <v>310</v>
      </c>
      <c r="K579" t="s">
        <v>36</v>
      </c>
    </row>
    <row r="580" spans="1:11" x14ac:dyDescent="0.3">
      <c r="A580" t="s">
        <v>611</v>
      </c>
      <c r="B580" s="1">
        <v>43304</v>
      </c>
      <c r="C580" t="s">
        <v>31</v>
      </c>
      <c r="D580" t="s">
        <v>32</v>
      </c>
      <c r="E580">
        <v>11</v>
      </c>
      <c r="F580">
        <v>16</v>
      </c>
      <c r="G580">
        <v>176</v>
      </c>
      <c r="H580">
        <v>0.12</v>
      </c>
      <c r="I580">
        <v>21.119999999999997</v>
      </c>
      <c r="J580">
        <v>155</v>
      </c>
      <c r="K580" t="s">
        <v>38</v>
      </c>
    </row>
    <row r="581" spans="1:11" x14ac:dyDescent="0.3">
      <c r="A581" t="s">
        <v>612</v>
      </c>
      <c r="B581" s="1">
        <v>43304</v>
      </c>
      <c r="C581" t="s">
        <v>20</v>
      </c>
      <c r="D581" t="s">
        <v>28</v>
      </c>
      <c r="E581">
        <v>17</v>
      </c>
      <c r="F581">
        <v>230</v>
      </c>
      <c r="G581">
        <v>3910</v>
      </c>
      <c r="H581">
        <v>0.12</v>
      </c>
      <c r="I581">
        <v>469.2</v>
      </c>
      <c r="J581">
        <v>3441</v>
      </c>
      <c r="K581" t="s">
        <v>40</v>
      </c>
    </row>
    <row r="582" spans="1:11" x14ac:dyDescent="0.3">
      <c r="A582" t="s">
        <v>613</v>
      </c>
      <c r="B582" s="1">
        <v>43304</v>
      </c>
      <c r="C582" t="s">
        <v>12</v>
      </c>
      <c r="D582" t="s">
        <v>13</v>
      </c>
      <c r="E582">
        <v>7</v>
      </c>
      <c r="F582">
        <v>80</v>
      </c>
      <c r="G582">
        <v>560</v>
      </c>
      <c r="H582">
        <v>0.02</v>
      </c>
      <c r="I582">
        <v>11.200000000000001</v>
      </c>
      <c r="J582">
        <v>549</v>
      </c>
      <c r="K582" t="s">
        <v>33</v>
      </c>
    </row>
    <row r="583" spans="1:11" x14ac:dyDescent="0.3">
      <c r="A583" t="s">
        <v>614</v>
      </c>
      <c r="B583" s="1">
        <v>43304</v>
      </c>
      <c r="C583" t="s">
        <v>31</v>
      </c>
      <c r="D583" t="s">
        <v>17</v>
      </c>
      <c r="E583">
        <v>5</v>
      </c>
      <c r="F583">
        <v>16</v>
      </c>
      <c r="G583">
        <v>80</v>
      </c>
      <c r="H583">
        <v>0.11</v>
      </c>
      <c r="I583">
        <v>8.8000000000000007</v>
      </c>
      <c r="J583">
        <v>71</v>
      </c>
      <c r="K583" t="s">
        <v>36</v>
      </c>
    </row>
    <row r="584" spans="1:11" x14ac:dyDescent="0.3">
      <c r="A584" t="s">
        <v>615</v>
      </c>
      <c r="B584" s="1">
        <v>43304</v>
      </c>
      <c r="C584" t="s">
        <v>35</v>
      </c>
      <c r="D584" t="s">
        <v>32</v>
      </c>
      <c r="E584">
        <v>18</v>
      </c>
      <c r="F584">
        <v>150</v>
      </c>
      <c r="G584">
        <v>2700</v>
      </c>
      <c r="H584">
        <v>0.12</v>
      </c>
      <c r="I584">
        <v>324</v>
      </c>
      <c r="J584">
        <v>2376</v>
      </c>
      <c r="K584" t="s">
        <v>38</v>
      </c>
    </row>
    <row r="585" spans="1:11" x14ac:dyDescent="0.3">
      <c r="A585" t="s">
        <v>616</v>
      </c>
      <c r="B585" s="1">
        <v>43304</v>
      </c>
      <c r="C585" t="s">
        <v>16</v>
      </c>
      <c r="D585" t="s">
        <v>32</v>
      </c>
      <c r="E585">
        <v>10</v>
      </c>
      <c r="F585">
        <v>40</v>
      </c>
      <c r="G585">
        <v>400</v>
      </c>
      <c r="H585">
        <v>0.03</v>
      </c>
      <c r="I585">
        <v>12</v>
      </c>
      <c r="J585">
        <v>388</v>
      </c>
      <c r="K585" t="s">
        <v>40</v>
      </c>
    </row>
    <row r="586" spans="1:11" x14ac:dyDescent="0.3">
      <c r="A586" t="s">
        <v>617</v>
      </c>
      <c r="B586" s="1">
        <v>43304</v>
      </c>
      <c r="C586" t="s">
        <v>16</v>
      </c>
      <c r="D586" t="s">
        <v>32</v>
      </c>
      <c r="E586">
        <v>14</v>
      </c>
      <c r="F586">
        <v>40</v>
      </c>
      <c r="G586">
        <v>560</v>
      </c>
      <c r="H586">
        <v>0.11</v>
      </c>
      <c r="I586">
        <v>61.6</v>
      </c>
      <c r="J586">
        <v>498</v>
      </c>
      <c r="K586" t="s">
        <v>33</v>
      </c>
    </row>
    <row r="587" spans="1:11" x14ac:dyDescent="0.3">
      <c r="A587" t="s">
        <v>618</v>
      </c>
      <c r="B587" s="1">
        <v>43304</v>
      </c>
      <c r="C587" t="s">
        <v>16</v>
      </c>
      <c r="D587" t="s">
        <v>32</v>
      </c>
      <c r="E587">
        <v>16</v>
      </c>
      <c r="F587">
        <v>40</v>
      </c>
      <c r="G587">
        <v>640</v>
      </c>
      <c r="H587">
        <v>0.09</v>
      </c>
      <c r="I587">
        <v>57.599999999999994</v>
      </c>
      <c r="J587">
        <v>582</v>
      </c>
      <c r="K587" t="s">
        <v>36</v>
      </c>
    </row>
    <row r="588" spans="1:11" x14ac:dyDescent="0.3">
      <c r="A588" t="s">
        <v>619</v>
      </c>
      <c r="B588" s="1">
        <v>43305</v>
      </c>
      <c r="C588" t="s">
        <v>16</v>
      </c>
      <c r="D588" t="s">
        <v>28</v>
      </c>
      <c r="E588">
        <v>23</v>
      </c>
      <c r="F588">
        <v>40</v>
      </c>
      <c r="G588">
        <v>920</v>
      </c>
      <c r="H588">
        <v>0.06</v>
      </c>
      <c r="I588">
        <v>55.199999999999996</v>
      </c>
      <c r="J588">
        <v>865</v>
      </c>
      <c r="K588" t="s">
        <v>38</v>
      </c>
    </row>
    <row r="589" spans="1:11" x14ac:dyDescent="0.3">
      <c r="A589" t="s">
        <v>620</v>
      </c>
      <c r="B589" s="1">
        <v>43305</v>
      </c>
      <c r="C589" t="s">
        <v>20</v>
      </c>
      <c r="D589" t="s">
        <v>28</v>
      </c>
      <c r="E589">
        <v>8</v>
      </c>
      <c r="F589">
        <v>230</v>
      </c>
      <c r="G589">
        <v>1840</v>
      </c>
      <c r="H589">
        <v>0.05</v>
      </c>
      <c r="I589">
        <v>92</v>
      </c>
      <c r="J589">
        <v>1748</v>
      </c>
      <c r="K589" t="s">
        <v>40</v>
      </c>
    </row>
    <row r="590" spans="1:11" x14ac:dyDescent="0.3">
      <c r="A590" t="s">
        <v>621</v>
      </c>
      <c r="B590" s="1">
        <v>43305</v>
      </c>
      <c r="C590" t="s">
        <v>31</v>
      </c>
      <c r="D590" t="s">
        <v>28</v>
      </c>
      <c r="E590">
        <v>14</v>
      </c>
      <c r="F590">
        <v>16</v>
      </c>
      <c r="G590">
        <v>224</v>
      </c>
      <c r="H590">
        <v>0.12</v>
      </c>
      <c r="I590">
        <v>26.88</v>
      </c>
      <c r="J590">
        <v>197</v>
      </c>
      <c r="K590" t="s">
        <v>33</v>
      </c>
    </row>
    <row r="591" spans="1:11" x14ac:dyDescent="0.3">
      <c r="A591" t="s">
        <v>622</v>
      </c>
      <c r="B591" s="1">
        <v>43305</v>
      </c>
      <c r="C591" t="s">
        <v>12</v>
      </c>
      <c r="D591" t="s">
        <v>13</v>
      </c>
      <c r="E591">
        <v>17</v>
      </c>
      <c r="F591">
        <v>80</v>
      </c>
      <c r="G591">
        <v>1360</v>
      </c>
      <c r="H591">
        <v>0.09</v>
      </c>
      <c r="I591">
        <v>122.39999999999999</v>
      </c>
      <c r="J591">
        <v>1238</v>
      </c>
      <c r="K591" t="s">
        <v>36</v>
      </c>
    </row>
    <row r="592" spans="1:11" x14ac:dyDescent="0.3">
      <c r="A592" t="s">
        <v>623</v>
      </c>
      <c r="B592" s="1">
        <v>43305</v>
      </c>
      <c r="C592" t="s">
        <v>35</v>
      </c>
      <c r="D592" t="s">
        <v>25</v>
      </c>
      <c r="E592">
        <v>11</v>
      </c>
      <c r="F592">
        <v>150</v>
      </c>
      <c r="G592">
        <v>1650</v>
      </c>
      <c r="H592">
        <v>0.11</v>
      </c>
      <c r="I592">
        <v>181.5</v>
      </c>
      <c r="J592">
        <v>1468</v>
      </c>
      <c r="K592" t="s">
        <v>38</v>
      </c>
    </row>
    <row r="593" spans="1:11" x14ac:dyDescent="0.3">
      <c r="A593" t="s">
        <v>624</v>
      </c>
      <c r="B593" s="1">
        <v>43305</v>
      </c>
      <c r="C593" t="s">
        <v>16</v>
      </c>
      <c r="D593" t="s">
        <v>28</v>
      </c>
      <c r="E593">
        <v>15</v>
      </c>
      <c r="F593">
        <v>40</v>
      </c>
      <c r="G593">
        <v>600</v>
      </c>
      <c r="H593">
        <v>0.03</v>
      </c>
      <c r="I593">
        <v>18</v>
      </c>
      <c r="J593">
        <v>582</v>
      </c>
      <c r="K593" t="s">
        <v>40</v>
      </c>
    </row>
    <row r="594" spans="1:11" x14ac:dyDescent="0.3">
      <c r="A594" t="s">
        <v>625</v>
      </c>
      <c r="B594" s="1">
        <v>43305</v>
      </c>
      <c r="C594" t="s">
        <v>12</v>
      </c>
      <c r="D594" t="s">
        <v>32</v>
      </c>
      <c r="E594">
        <v>9</v>
      </c>
      <c r="F594">
        <v>80</v>
      </c>
      <c r="G594">
        <v>720</v>
      </c>
      <c r="H594">
        <v>7.0000000000000007E-2</v>
      </c>
      <c r="I594">
        <v>50.400000000000006</v>
      </c>
      <c r="J594">
        <v>670</v>
      </c>
      <c r="K594" t="s">
        <v>33</v>
      </c>
    </row>
    <row r="595" spans="1:11" x14ac:dyDescent="0.3">
      <c r="A595" t="s">
        <v>626</v>
      </c>
      <c r="B595" s="1">
        <v>43305</v>
      </c>
      <c r="C595" t="s">
        <v>20</v>
      </c>
      <c r="D595" t="s">
        <v>17</v>
      </c>
      <c r="E595">
        <v>22</v>
      </c>
      <c r="F595">
        <v>230</v>
      </c>
      <c r="G595">
        <v>5060</v>
      </c>
      <c r="H595">
        <v>0.04</v>
      </c>
      <c r="I595">
        <v>202.4</v>
      </c>
      <c r="J595">
        <v>4858</v>
      </c>
      <c r="K595" t="s">
        <v>36</v>
      </c>
    </row>
    <row r="596" spans="1:11" x14ac:dyDescent="0.3">
      <c r="A596" t="s">
        <v>627</v>
      </c>
      <c r="B596" s="1">
        <v>43305</v>
      </c>
      <c r="C596" t="s">
        <v>20</v>
      </c>
      <c r="D596" t="s">
        <v>17</v>
      </c>
      <c r="E596">
        <v>11</v>
      </c>
      <c r="F596">
        <v>230</v>
      </c>
      <c r="G596">
        <v>2530</v>
      </c>
      <c r="H596">
        <v>0.1</v>
      </c>
      <c r="I596">
        <v>253</v>
      </c>
      <c r="J596">
        <v>2277</v>
      </c>
      <c r="K596" t="s">
        <v>38</v>
      </c>
    </row>
    <row r="597" spans="1:11" x14ac:dyDescent="0.3">
      <c r="A597" t="s">
        <v>628</v>
      </c>
      <c r="B597" s="1">
        <v>43305</v>
      </c>
      <c r="C597" t="s">
        <v>16</v>
      </c>
      <c r="D597" t="s">
        <v>25</v>
      </c>
      <c r="E597">
        <v>11</v>
      </c>
      <c r="F597">
        <v>40</v>
      </c>
      <c r="G597">
        <v>440</v>
      </c>
      <c r="H597">
        <v>0.12</v>
      </c>
      <c r="I597">
        <v>52.8</v>
      </c>
      <c r="J597">
        <v>387</v>
      </c>
      <c r="K597" t="s">
        <v>40</v>
      </c>
    </row>
    <row r="598" spans="1:11" x14ac:dyDescent="0.3">
      <c r="A598" t="s">
        <v>629</v>
      </c>
      <c r="B598" s="1">
        <v>43305</v>
      </c>
      <c r="C598" t="s">
        <v>16</v>
      </c>
      <c r="D598" t="s">
        <v>28</v>
      </c>
      <c r="E598">
        <v>9</v>
      </c>
      <c r="F598">
        <v>40</v>
      </c>
      <c r="G598">
        <v>360</v>
      </c>
      <c r="H598">
        <v>0.06</v>
      </c>
      <c r="I598">
        <v>21.599999999999998</v>
      </c>
      <c r="J598">
        <v>338</v>
      </c>
      <c r="K598" t="s">
        <v>33</v>
      </c>
    </row>
    <row r="599" spans="1:11" x14ac:dyDescent="0.3">
      <c r="A599" t="s">
        <v>630</v>
      </c>
      <c r="B599" s="1">
        <v>43306</v>
      </c>
      <c r="C599" t="s">
        <v>16</v>
      </c>
      <c r="D599" t="s">
        <v>28</v>
      </c>
      <c r="E599">
        <v>13</v>
      </c>
      <c r="F599">
        <v>40</v>
      </c>
      <c r="G599">
        <v>520</v>
      </c>
      <c r="H599">
        <v>0.09</v>
      </c>
      <c r="I599">
        <v>46.8</v>
      </c>
      <c r="J599">
        <v>473</v>
      </c>
      <c r="K599" t="s">
        <v>36</v>
      </c>
    </row>
    <row r="600" spans="1:11" x14ac:dyDescent="0.3">
      <c r="A600" t="s">
        <v>631</v>
      </c>
      <c r="B600" s="1">
        <v>43306</v>
      </c>
      <c r="C600" t="s">
        <v>16</v>
      </c>
      <c r="D600" t="s">
        <v>17</v>
      </c>
      <c r="E600">
        <v>4</v>
      </c>
      <c r="F600">
        <v>40</v>
      </c>
      <c r="G600">
        <v>160</v>
      </c>
      <c r="H600">
        <v>0.12</v>
      </c>
      <c r="I600">
        <v>19.2</v>
      </c>
      <c r="J600">
        <v>141</v>
      </c>
      <c r="K600" t="s">
        <v>38</v>
      </c>
    </row>
    <row r="601" spans="1:11" x14ac:dyDescent="0.3">
      <c r="A601" t="s">
        <v>632</v>
      </c>
      <c r="B601" s="1">
        <v>43306</v>
      </c>
      <c r="C601" t="s">
        <v>35</v>
      </c>
      <c r="D601" t="s">
        <v>13</v>
      </c>
      <c r="E601">
        <v>22</v>
      </c>
      <c r="F601">
        <v>150</v>
      </c>
      <c r="G601">
        <v>3300</v>
      </c>
      <c r="H601">
        <v>0.05</v>
      </c>
      <c r="I601">
        <v>165</v>
      </c>
      <c r="J601">
        <v>3135</v>
      </c>
      <c r="K601" t="s">
        <v>40</v>
      </c>
    </row>
    <row r="602" spans="1:11" x14ac:dyDescent="0.3">
      <c r="A602" t="s">
        <v>633</v>
      </c>
      <c r="B602" s="1">
        <v>43306</v>
      </c>
      <c r="C602" t="s">
        <v>16</v>
      </c>
      <c r="D602" t="s">
        <v>32</v>
      </c>
      <c r="E602">
        <v>21</v>
      </c>
      <c r="F602">
        <v>40</v>
      </c>
      <c r="G602">
        <v>840</v>
      </c>
      <c r="H602">
        <v>0.01</v>
      </c>
      <c r="I602">
        <v>8.4</v>
      </c>
      <c r="J602">
        <v>832</v>
      </c>
      <c r="K602" t="s">
        <v>33</v>
      </c>
    </row>
    <row r="603" spans="1:11" x14ac:dyDescent="0.3">
      <c r="A603" t="s">
        <v>634</v>
      </c>
      <c r="B603" s="1">
        <v>43306</v>
      </c>
      <c r="C603" t="s">
        <v>31</v>
      </c>
      <c r="D603" t="s">
        <v>13</v>
      </c>
      <c r="E603">
        <v>16</v>
      </c>
      <c r="F603">
        <v>16</v>
      </c>
      <c r="G603">
        <v>256</v>
      </c>
      <c r="H603">
        <v>0.03</v>
      </c>
      <c r="I603">
        <v>7.68</v>
      </c>
      <c r="J603">
        <v>248</v>
      </c>
      <c r="K603" t="s">
        <v>36</v>
      </c>
    </row>
    <row r="604" spans="1:11" x14ac:dyDescent="0.3">
      <c r="A604" t="s">
        <v>635</v>
      </c>
      <c r="B604" s="1">
        <v>43306</v>
      </c>
      <c r="C604" t="s">
        <v>12</v>
      </c>
      <c r="D604" t="s">
        <v>28</v>
      </c>
      <c r="E604">
        <v>16</v>
      </c>
      <c r="F604">
        <v>80</v>
      </c>
      <c r="G604">
        <v>1280</v>
      </c>
      <c r="H604">
        <v>7.0000000000000007E-2</v>
      </c>
      <c r="I604">
        <v>89.600000000000009</v>
      </c>
      <c r="J604">
        <v>1190</v>
      </c>
      <c r="K604" t="s">
        <v>38</v>
      </c>
    </row>
    <row r="605" spans="1:11" x14ac:dyDescent="0.3">
      <c r="A605" t="s">
        <v>636</v>
      </c>
      <c r="B605" s="1">
        <v>43306</v>
      </c>
      <c r="C605" t="s">
        <v>12</v>
      </c>
      <c r="D605" t="s">
        <v>17</v>
      </c>
      <c r="E605">
        <v>15</v>
      </c>
      <c r="F605">
        <v>80</v>
      </c>
      <c r="G605">
        <v>1200</v>
      </c>
      <c r="H605">
        <v>0.12</v>
      </c>
      <c r="I605">
        <v>144</v>
      </c>
      <c r="J605">
        <v>1056</v>
      </c>
      <c r="K605" t="s">
        <v>40</v>
      </c>
    </row>
    <row r="606" spans="1:11" x14ac:dyDescent="0.3">
      <c r="A606" t="s">
        <v>637</v>
      </c>
      <c r="B606" s="1">
        <v>43306</v>
      </c>
      <c r="C606" t="s">
        <v>35</v>
      </c>
      <c r="D606" t="s">
        <v>13</v>
      </c>
      <c r="E606">
        <v>20</v>
      </c>
      <c r="F606">
        <v>150</v>
      </c>
      <c r="G606">
        <v>3000</v>
      </c>
      <c r="H606">
        <v>0.03</v>
      </c>
      <c r="I606">
        <v>90</v>
      </c>
      <c r="J606">
        <v>2910</v>
      </c>
      <c r="K606" t="s">
        <v>33</v>
      </c>
    </row>
    <row r="607" spans="1:11" x14ac:dyDescent="0.3">
      <c r="A607" t="s">
        <v>638</v>
      </c>
      <c r="B607" s="1">
        <v>43306</v>
      </c>
      <c r="C607" t="s">
        <v>16</v>
      </c>
      <c r="D607" t="s">
        <v>28</v>
      </c>
      <c r="E607">
        <v>13</v>
      </c>
      <c r="F607">
        <v>40</v>
      </c>
      <c r="G607">
        <v>520</v>
      </c>
      <c r="H607">
        <v>0.06</v>
      </c>
      <c r="I607">
        <v>31.2</v>
      </c>
      <c r="J607">
        <v>489</v>
      </c>
      <c r="K607" t="s">
        <v>36</v>
      </c>
    </row>
    <row r="608" spans="1:11" x14ac:dyDescent="0.3">
      <c r="A608" t="s">
        <v>639</v>
      </c>
      <c r="B608" s="1">
        <v>43306</v>
      </c>
      <c r="C608" t="s">
        <v>31</v>
      </c>
      <c r="D608" t="s">
        <v>32</v>
      </c>
      <c r="E608">
        <v>3</v>
      </c>
      <c r="F608">
        <v>16</v>
      </c>
      <c r="G608">
        <v>48</v>
      </c>
      <c r="H608">
        <v>0.06</v>
      </c>
      <c r="I608">
        <v>2.88</v>
      </c>
      <c r="J608">
        <v>45</v>
      </c>
      <c r="K608" t="s">
        <v>38</v>
      </c>
    </row>
    <row r="609" spans="1:11" x14ac:dyDescent="0.3">
      <c r="A609" t="s">
        <v>640</v>
      </c>
      <c r="B609" s="1">
        <v>43306</v>
      </c>
      <c r="C609" t="s">
        <v>31</v>
      </c>
      <c r="D609" t="s">
        <v>25</v>
      </c>
      <c r="E609">
        <v>11</v>
      </c>
      <c r="F609">
        <v>16</v>
      </c>
      <c r="G609">
        <v>176</v>
      </c>
      <c r="H609">
        <v>0.04</v>
      </c>
      <c r="I609">
        <v>7.04</v>
      </c>
      <c r="J609">
        <v>169</v>
      </c>
      <c r="K609" t="s">
        <v>40</v>
      </c>
    </row>
    <row r="610" spans="1:11" x14ac:dyDescent="0.3">
      <c r="A610" t="s">
        <v>641</v>
      </c>
      <c r="B610" s="1">
        <v>43307</v>
      </c>
      <c r="C610" t="s">
        <v>16</v>
      </c>
      <c r="D610" t="s">
        <v>32</v>
      </c>
      <c r="E610">
        <v>16</v>
      </c>
      <c r="F610">
        <v>40</v>
      </c>
      <c r="G610">
        <v>640</v>
      </c>
      <c r="H610">
        <v>0.09</v>
      </c>
      <c r="I610">
        <v>57.599999999999994</v>
      </c>
      <c r="J610">
        <v>582</v>
      </c>
      <c r="K610" t="s">
        <v>33</v>
      </c>
    </row>
    <row r="611" spans="1:11" x14ac:dyDescent="0.3">
      <c r="A611" t="s">
        <v>642</v>
      </c>
      <c r="B611" s="1">
        <v>43307</v>
      </c>
      <c r="C611" t="s">
        <v>16</v>
      </c>
      <c r="D611" t="s">
        <v>25</v>
      </c>
      <c r="E611">
        <v>4</v>
      </c>
      <c r="F611">
        <v>40</v>
      </c>
      <c r="G611">
        <v>160</v>
      </c>
      <c r="H611">
        <v>0.06</v>
      </c>
      <c r="I611">
        <v>9.6</v>
      </c>
      <c r="J611">
        <v>150</v>
      </c>
      <c r="K611" t="s">
        <v>36</v>
      </c>
    </row>
    <row r="612" spans="1:11" x14ac:dyDescent="0.3">
      <c r="A612" t="s">
        <v>643</v>
      </c>
      <c r="B612" s="1">
        <v>43307</v>
      </c>
      <c r="C612" t="s">
        <v>16</v>
      </c>
      <c r="D612" t="s">
        <v>25</v>
      </c>
      <c r="E612">
        <v>20</v>
      </c>
      <c r="F612">
        <v>40</v>
      </c>
      <c r="G612">
        <v>800</v>
      </c>
      <c r="H612">
        <v>0.01</v>
      </c>
      <c r="I612">
        <v>8</v>
      </c>
      <c r="J612">
        <v>792</v>
      </c>
      <c r="K612" t="s">
        <v>38</v>
      </c>
    </row>
    <row r="613" spans="1:11" x14ac:dyDescent="0.3">
      <c r="A613" t="s">
        <v>644</v>
      </c>
      <c r="B613" s="1">
        <v>43307</v>
      </c>
      <c r="C613" t="s">
        <v>16</v>
      </c>
      <c r="D613" t="s">
        <v>25</v>
      </c>
      <c r="E613">
        <v>4</v>
      </c>
      <c r="F613">
        <v>40</v>
      </c>
      <c r="G613">
        <v>160</v>
      </c>
      <c r="H613">
        <v>0.1</v>
      </c>
      <c r="I613">
        <v>16</v>
      </c>
      <c r="J613">
        <v>144</v>
      </c>
      <c r="K613" t="s">
        <v>40</v>
      </c>
    </row>
    <row r="614" spans="1:11" x14ac:dyDescent="0.3">
      <c r="A614" t="s">
        <v>645</v>
      </c>
      <c r="B614" s="1">
        <v>43307</v>
      </c>
      <c r="C614" t="s">
        <v>12</v>
      </c>
      <c r="D614" t="s">
        <v>17</v>
      </c>
      <c r="E614">
        <v>14</v>
      </c>
      <c r="F614">
        <v>80</v>
      </c>
      <c r="G614">
        <v>1120</v>
      </c>
      <c r="H614">
        <v>0.06</v>
      </c>
      <c r="I614">
        <v>67.2</v>
      </c>
      <c r="J614">
        <v>1053</v>
      </c>
      <c r="K614" t="s">
        <v>33</v>
      </c>
    </row>
    <row r="615" spans="1:11" x14ac:dyDescent="0.3">
      <c r="A615" t="s">
        <v>646</v>
      </c>
      <c r="B615" s="1">
        <v>43307</v>
      </c>
      <c r="C615" t="s">
        <v>35</v>
      </c>
      <c r="D615" t="s">
        <v>17</v>
      </c>
      <c r="E615">
        <v>15</v>
      </c>
      <c r="F615">
        <v>150</v>
      </c>
      <c r="G615">
        <v>2250</v>
      </c>
      <c r="H615">
        <v>0.02</v>
      </c>
      <c r="I615">
        <v>45</v>
      </c>
      <c r="J615">
        <v>2205</v>
      </c>
      <c r="K615" t="s">
        <v>36</v>
      </c>
    </row>
    <row r="616" spans="1:11" x14ac:dyDescent="0.3">
      <c r="A616" t="s">
        <v>647</v>
      </c>
      <c r="B616" s="1">
        <v>43307</v>
      </c>
      <c r="C616" t="s">
        <v>12</v>
      </c>
      <c r="D616" t="s">
        <v>25</v>
      </c>
      <c r="E616">
        <v>14</v>
      </c>
      <c r="F616">
        <v>80</v>
      </c>
      <c r="G616">
        <v>1120</v>
      </c>
      <c r="H616">
        <v>0.1</v>
      </c>
      <c r="I616">
        <v>112</v>
      </c>
      <c r="J616">
        <v>1008</v>
      </c>
      <c r="K616" t="s">
        <v>38</v>
      </c>
    </row>
    <row r="617" spans="1:11" x14ac:dyDescent="0.3">
      <c r="A617" t="s">
        <v>648</v>
      </c>
      <c r="B617" s="1">
        <v>43307</v>
      </c>
      <c r="C617" t="s">
        <v>35</v>
      </c>
      <c r="D617" t="s">
        <v>13</v>
      </c>
      <c r="E617">
        <v>20</v>
      </c>
      <c r="F617">
        <v>150</v>
      </c>
      <c r="G617">
        <v>3000</v>
      </c>
      <c r="H617">
        <v>0.04</v>
      </c>
      <c r="I617">
        <v>120</v>
      </c>
      <c r="J617">
        <v>2880</v>
      </c>
      <c r="K617" t="s">
        <v>40</v>
      </c>
    </row>
    <row r="618" spans="1:11" x14ac:dyDescent="0.3">
      <c r="A618" t="s">
        <v>649</v>
      </c>
      <c r="B618" s="1">
        <v>43307</v>
      </c>
      <c r="C618" t="s">
        <v>12</v>
      </c>
      <c r="D618" t="s">
        <v>32</v>
      </c>
      <c r="E618">
        <v>22</v>
      </c>
      <c r="F618">
        <v>80</v>
      </c>
      <c r="G618">
        <v>1760</v>
      </c>
      <c r="H618">
        <v>0.1</v>
      </c>
      <c r="I618">
        <v>176</v>
      </c>
      <c r="J618">
        <v>1584</v>
      </c>
      <c r="K618" t="s">
        <v>33</v>
      </c>
    </row>
    <row r="619" spans="1:11" x14ac:dyDescent="0.3">
      <c r="A619" t="s">
        <v>650</v>
      </c>
      <c r="B619" s="1">
        <v>43307</v>
      </c>
      <c r="C619" t="s">
        <v>20</v>
      </c>
      <c r="D619" t="s">
        <v>32</v>
      </c>
      <c r="E619">
        <v>20</v>
      </c>
      <c r="F619">
        <v>230</v>
      </c>
      <c r="G619">
        <v>4600</v>
      </c>
      <c r="H619">
        <v>0.09</v>
      </c>
      <c r="I619">
        <v>414</v>
      </c>
      <c r="J619">
        <v>4186</v>
      </c>
      <c r="K619" t="s">
        <v>36</v>
      </c>
    </row>
    <row r="620" spans="1:11" x14ac:dyDescent="0.3">
      <c r="A620" t="s">
        <v>651</v>
      </c>
      <c r="B620" s="1">
        <v>43307</v>
      </c>
      <c r="C620" t="s">
        <v>20</v>
      </c>
      <c r="D620" t="s">
        <v>25</v>
      </c>
      <c r="E620">
        <v>12</v>
      </c>
      <c r="F620">
        <v>230</v>
      </c>
      <c r="G620">
        <v>2760</v>
      </c>
      <c r="H620">
        <v>0.03</v>
      </c>
      <c r="I620">
        <v>82.8</v>
      </c>
      <c r="J620">
        <v>2677</v>
      </c>
      <c r="K620" t="s">
        <v>38</v>
      </c>
    </row>
    <row r="621" spans="1:11" x14ac:dyDescent="0.3">
      <c r="A621" t="s">
        <v>652</v>
      </c>
      <c r="B621" s="1">
        <v>43308</v>
      </c>
      <c r="C621" t="s">
        <v>12</v>
      </c>
      <c r="D621" t="s">
        <v>13</v>
      </c>
      <c r="E621">
        <v>21</v>
      </c>
      <c r="F621">
        <v>80</v>
      </c>
      <c r="G621">
        <v>1680</v>
      </c>
      <c r="H621">
        <v>0.04</v>
      </c>
      <c r="I621">
        <v>67.2</v>
      </c>
      <c r="J621">
        <v>1613</v>
      </c>
      <c r="K621" t="s">
        <v>40</v>
      </c>
    </row>
    <row r="622" spans="1:11" x14ac:dyDescent="0.3">
      <c r="A622" t="s">
        <v>653</v>
      </c>
      <c r="B622" s="1">
        <v>43308</v>
      </c>
      <c r="C622" t="s">
        <v>16</v>
      </c>
      <c r="D622" t="s">
        <v>17</v>
      </c>
      <c r="E622">
        <v>15</v>
      </c>
      <c r="F622">
        <v>40</v>
      </c>
      <c r="G622">
        <v>600</v>
      </c>
      <c r="H622">
        <v>0.04</v>
      </c>
      <c r="I622">
        <v>24</v>
      </c>
      <c r="J622">
        <v>576</v>
      </c>
      <c r="K622" t="s">
        <v>33</v>
      </c>
    </row>
    <row r="623" spans="1:11" x14ac:dyDescent="0.3">
      <c r="A623" t="s">
        <v>654</v>
      </c>
      <c r="B623" s="1">
        <v>43308</v>
      </c>
      <c r="C623" t="s">
        <v>12</v>
      </c>
      <c r="D623" t="s">
        <v>28</v>
      </c>
      <c r="E623">
        <v>16</v>
      </c>
      <c r="F623">
        <v>80</v>
      </c>
      <c r="G623">
        <v>1280</v>
      </c>
      <c r="H623">
        <v>0.1</v>
      </c>
      <c r="I623">
        <v>128</v>
      </c>
      <c r="J623">
        <v>1152</v>
      </c>
      <c r="K623" t="s">
        <v>36</v>
      </c>
    </row>
    <row r="624" spans="1:11" x14ac:dyDescent="0.3">
      <c r="A624" t="s">
        <v>655</v>
      </c>
      <c r="B624" s="1">
        <v>43308</v>
      </c>
      <c r="C624" t="s">
        <v>20</v>
      </c>
      <c r="D624" t="s">
        <v>32</v>
      </c>
      <c r="E624">
        <v>17</v>
      </c>
      <c r="F624">
        <v>230</v>
      </c>
      <c r="G624">
        <v>3910</v>
      </c>
      <c r="H624">
        <v>0.11</v>
      </c>
      <c r="I624">
        <v>430.1</v>
      </c>
      <c r="J624">
        <v>3480</v>
      </c>
      <c r="K624" t="s">
        <v>38</v>
      </c>
    </row>
    <row r="625" spans="1:11" x14ac:dyDescent="0.3">
      <c r="A625" t="s">
        <v>656</v>
      </c>
      <c r="B625" s="1">
        <v>43308</v>
      </c>
      <c r="C625" t="s">
        <v>20</v>
      </c>
      <c r="D625" t="s">
        <v>32</v>
      </c>
      <c r="E625">
        <v>5</v>
      </c>
      <c r="F625">
        <v>230</v>
      </c>
      <c r="G625">
        <v>1150</v>
      </c>
      <c r="H625">
        <v>0.12</v>
      </c>
      <c r="I625">
        <v>138</v>
      </c>
      <c r="J625">
        <v>1012</v>
      </c>
      <c r="K625" t="s">
        <v>40</v>
      </c>
    </row>
    <row r="626" spans="1:11" x14ac:dyDescent="0.3">
      <c r="A626" t="s">
        <v>657</v>
      </c>
      <c r="B626" s="1">
        <v>43308</v>
      </c>
      <c r="C626" t="s">
        <v>31</v>
      </c>
      <c r="D626" t="s">
        <v>13</v>
      </c>
      <c r="E626">
        <v>20</v>
      </c>
      <c r="F626">
        <v>16</v>
      </c>
      <c r="G626">
        <v>320</v>
      </c>
      <c r="H626">
        <v>0.01</v>
      </c>
      <c r="I626">
        <v>3.2</v>
      </c>
      <c r="J626">
        <v>317</v>
      </c>
      <c r="K626" t="s">
        <v>33</v>
      </c>
    </row>
    <row r="627" spans="1:11" x14ac:dyDescent="0.3">
      <c r="A627" t="s">
        <v>658</v>
      </c>
      <c r="B627" s="1">
        <v>43308</v>
      </c>
      <c r="C627" t="s">
        <v>20</v>
      </c>
      <c r="D627" t="s">
        <v>13</v>
      </c>
      <c r="E627">
        <v>5</v>
      </c>
      <c r="F627">
        <v>230</v>
      </c>
      <c r="G627">
        <v>1150</v>
      </c>
      <c r="H627">
        <v>0.1</v>
      </c>
      <c r="I627">
        <v>115</v>
      </c>
      <c r="J627">
        <v>1035</v>
      </c>
      <c r="K627" t="s">
        <v>36</v>
      </c>
    </row>
    <row r="628" spans="1:11" x14ac:dyDescent="0.3">
      <c r="A628" t="s">
        <v>659</v>
      </c>
      <c r="B628" s="1">
        <v>43308</v>
      </c>
      <c r="C628" t="s">
        <v>16</v>
      </c>
      <c r="D628" t="s">
        <v>17</v>
      </c>
      <c r="E628">
        <v>8</v>
      </c>
      <c r="F628">
        <v>40</v>
      </c>
      <c r="G628">
        <v>320</v>
      </c>
      <c r="H628">
        <v>0.09</v>
      </c>
      <c r="I628">
        <v>28.799999999999997</v>
      </c>
      <c r="J628">
        <v>291</v>
      </c>
      <c r="K628" t="s">
        <v>38</v>
      </c>
    </row>
    <row r="629" spans="1:11" x14ac:dyDescent="0.3">
      <c r="A629" t="s">
        <v>660</v>
      </c>
      <c r="B629" s="1">
        <v>43308</v>
      </c>
      <c r="C629" t="s">
        <v>31</v>
      </c>
      <c r="D629" t="s">
        <v>13</v>
      </c>
      <c r="E629">
        <v>7</v>
      </c>
      <c r="F629">
        <v>16</v>
      </c>
      <c r="G629">
        <v>112</v>
      </c>
      <c r="H629">
        <v>0.02</v>
      </c>
      <c r="I629">
        <v>2.2400000000000002</v>
      </c>
      <c r="J629">
        <v>110</v>
      </c>
      <c r="K629" t="s">
        <v>40</v>
      </c>
    </row>
    <row r="630" spans="1:11" x14ac:dyDescent="0.3">
      <c r="A630" t="s">
        <v>661</v>
      </c>
      <c r="B630" s="1">
        <v>43308</v>
      </c>
      <c r="C630" t="s">
        <v>35</v>
      </c>
      <c r="D630" t="s">
        <v>28</v>
      </c>
      <c r="E630">
        <v>15</v>
      </c>
      <c r="F630">
        <v>150</v>
      </c>
      <c r="G630">
        <v>2250</v>
      </c>
      <c r="H630">
        <v>0.08</v>
      </c>
      <c r="I630">
        <v>180</v>
      </c>
      <c r="J630">
        <v>2070</v>
      </c>
      <c r="K630" t="s">
        <v>33</v>
      </c>
    </row>
    <row r="631" spans="1:11" x14ac:dyDescent="0.3">
      <c r="A631" t="s">
        <v>662</v>
      </c>
      <c r="B631" s="1">
        <v>43308</v>
      </c>
      <c r="C631" t="s">
        <v>20</v>
      </c>
      <c r="D631" t="s">
        <v>32</v>
      </c>
      <c r="E631">
        <v>20</v>
      </c>
      <c r="F631">
        <v>230</v>
      </c>
      <c r="G631">
        <v>4600</v>
      </c>
      <c r="H631">
        <v>0.11</v>
      </c>
      <c r="I631">
        <v>506</v>
      </c>
      <c r="J631">
        <v>4094</v>
      </c>
      <c r="K631" t="s">
        <v>36</v>
      </c>
    </row>
    <row r="632" spans="1:11" x14ac:dyDescent="0.3">
      <c r="A632" t="s">
        <v>663</v>
      </c>
      <c r="B632" s="1">
        <v>43308</v>
      </c>
      <c r="C632" t="s">
        <v>31</v>
      </c>
      <c r="D632" t="s">
        <v>17</v>
      </c>
      <c r="E632">
        <v>4</v>
      </c>
      <c r="F632">
        <v>16</v>
      </c>
      <c r="G632">
        <v>64</v>
      </c>
      <c r="H632">
        <v>0.09</v>
      </c>
      <c r="I632">
        <v>5.76</v>
      </c>
      <c r="J632">
        <v>58</v>
      </c>
      <c r="K632" t="s">
        <v>38</v>
      </c>
    </row>
    <row r="633" spans="1:11" x14ac:dyDescent="0.3">
      <c r="A633" t="s">
        <v>664</v>
      </c>
      <c r="B633" s="1">
        <v>43308</v>
      </c>
      <c r="C633" t="s">
        <v>16</v>
      </c>
      <c r="D633" t="s">
        <v>28</v>
      </c>
      <c r="E633">
        <v>11</v>
      </c>
      <c r="F633">
        <v>40</v>
      </c>
      <c r="G633">
        <v>440</v>
      </c>
      <c r="H633">
        <v>0.09</v>
      </c>
      <c r="I633">
        <v>39.6</v>
      </c>
      <c r="J633">
        <v>400</v>
      </c>
      <c r="K633" t="s">
        <v>40</v>
      </c>
    </row>
    <row r="634" spans="1:11" x14ac:dyDescent="0.3">
      <c r="A634" t="s">
        <v>665</v>
      </c>
      <c r="B634" s="1">
        <v>43308</v>
      </c>
      <c r="C634" t="s">
        <v>35</v>
      </c>
      <c r="D634" t="s">
        <v>25</v>
      </c>
      <c r="E634">
        <v>15</v>
      </c>
      <c r="F634">
        <v>150</v>
      </c>
      <c r="G634">
        <v>2250</v>
      </c>
      <c r="H634">
        <v>0.05</v>
      </c>
      <c r="I634">
        <v>112.5</v>
      </c>
      <c r="J634">
        <v>2138</v>
      </c>
      <c r="K634" t="s">
        <v>33</v>
      </c>
    </row>
    <row r="635" spans="1:11" x14ac:dyDescent="0.3">
      <c r="A635" t="s">
        <v>666</v>
      </c>
      <c r="B635" s="1">
        <v>43308</v>
      </c>
      <c r="C635" t="s">
        <v>20</v>
      </c>
      <c r="D635" t="s">
        <v>25</v>
      </c>
      <c r="E635">
        <v>5</v>
      </c>
      <c r="F635">
        <v>230</v>
      </c>
      <c r="G635">
        <v>1150</v>
      </c>
      <c r="H635">
        <v>0.01</v>
      </c>
      <c r="I635">
        <v>11.5</v>
      </c>
      <c r="J635">
        <v>1138</v>
      </c>
      <c r="K635" t="s">
        <v>36</v>
      </c>
    </row>
    <row r="636" spans="1:11" x14ac:dyDescent="0.3">
      <c r="A636" t="s">
        <v>667</v>
      </c>
      <c r="B636" s="1">
        <v>43308</v>
      </c>
      <c r="C636" t="s">
        <v>20</v>
      </c>
      <c r="D636" t="s">
        <v>25</v>
      </c>
      <c r="E636">
        <v>14</v>
      </c>
      <c r="F636">
        <v>230</v>
      </c>
      <c r="G636">
        <v>3220</v>
      </c>
      <c r="H636">
        <v>0.03</v>
      </c>
      <c r="I636">
        <v>96.6</v>
      </c>
      <c r="J636">
        <v>3123</v>
      </c>
      <c r="K636" t="s">
        <v>38</v>
      </c>
    </row>
    <row r="637" spans="1:11" x14ac:dyDescent="0.3">
      <c r="A637" t="s">
        <v>668</v>
      </c>
      <c r="B637" s="1">
        <v>43308</v>
      </c>
      <c r="C637" t="s">
        <v>16</v>
      </c>
      <c r="D637" t="s">
        <v>32</v>
      </c>
      <c r="E637">
        <v>23</v>
      </c>
      <c r="F637">
        <v>40</v>
      </c>
      <c r="G637">
        <v>920</v>
      </c>
      <c r="H637">
        <v>0.05</v>
      </c>
      <c r="I637">
        <v>46</v>
      </c>
      <c r="J637">
        <v>874</v>
      </c>
      <c r="K637" t="s">
        <v>40</v>
      </c>
    </row>
    <row r="638" spans="1:11" x14ac:dyDescent="0.3">
      <c r="A638" t="s">
        <v>669</v>
      </c>
      <c r="B638" s="1">
        <v>43308</v>
      </c>
      <c r="C638" t="s">
        <v>12</v>
      </c>
      <c r="D638" t="s">
        <v>28</v>
      </c>
      <c r="E638">
        <v>22</v>
      </c>
      <c r="F638">
        <v>80</v>
      </c>
      <c r="G638">
        <v>1760</v>
      </c>
      <c r="H638">
        <v>0.03</v>
      </c>
      <c r="I638">
        <v>52.8</v>
      </c>
      <c r="J638">
        <v>1707</v>
      </c>
      <c r="K638" t="s">
        <v>33</v>
      </c>
    </row>
    <row r="639" spans="1:11" x14ac:dyDescent="0.3">
      <c r="A639" t="s">
        <v>670</v>
      </c>
      <c r="B639" s="1">
        <v>43309</v>
      </c>
      <c r="C639" t="s">
        <v>20</v>
      </c>
      <c r="D639" t="s">
        <v>25</v>
      </c>
      <c r="E639">
        <v>20</v>
      </c>
      <c r="F639">
        <v>230</v>
      </c>
      <c r="G639">
        <v>4600</v>
      </c>
      <c r="H639">
        <v>0.06</v>
      </c>
      <c r="I639">
        <v>276</v>
      </c>
      <c r="J639">
        <v>4324</v>
      </c>
      <c r="K639" t="s">
        <v>36</v>
      </c>
    </row>
    <row r="640" spans="1:11" x14ac:dyDescent="0.3">
      <c r="A640" t="s">
        <v>671</v>
      </c>
      <c r="B640" s="1">
        <v>43309</v>
      </c>
      <c r="C640" t="s">
        <v>20</v>
      </c>
      <c r="D640" t="s">
        <v>17</v>
      </c>
      <c r="E640">
        <v>15</v>
      </c>
      <c r="F640">
        <v>230</v>
      </c>
      <c r="G640">
        <v>3450</v>
      </c>
      <c r="H640">
        <v>0.09</v>
      </c>
      <c r="I640">
        <v>310.5</v>
      </c>
      <c r="J640">
        <v>3140</v>
      </c>
      <c r="K640" t="s">
        <v>38</v>
      </c>
    </row>
    <row r="641" spans="1:11" x14ac:dyDescent="0.3">
      <c r="A641" t="s">
        <v>672</v>
      </c>
      <c r="B641" s="1">
        <v>43309</v>
      </c>
      <c r="C641" t="s">
        <v>35</v>
      </c>
      <c r="D641" t="s">
        <v>25</v>
      </c>
      <c r="E641">
        <v>18</v>
      </c>
      <c r="F641">
        <v>150</v>
      </c>
      <c r="G641">
        <v>2700</v>
      </c>
      <c r="H641">
        <v>0.06</v>
      </c>
      <c r="I641">
        <v>162</v>
      </c>
      <c r="J641">
        <v>2538</v>
      </c>
      <c r="K641" t="s">
        <v>40</v>
      </c>
    </row>
    <row r="642" spans="1:11" x14ac:dyDescent="0.3">
      <c r="A642" t="s">
        <v>673</v>
      </c>
      <c r="B642" s="1">
        <v>43309</v>
      </c>
      <c r="C642" t="s">
        <v>20</v>
      </c>
      <c r="D642" t="s">
        <v>13</v>
      </c>
      <c r="E642">
        <v>3</v>
      </c>
      <c r="F642">
        <v>230</v>
      </c>
      <c r="G642">
        <v>690</v>
      </c>
      <c r="H642">
        <v>0.11</v>
      </c>
      <c r="I642">
        <v>75.900000000000006</v>
      </c>
      <c r="J642">
        <v>614</v>
      </c>
      <c r="K642" t="s">
        <v>33</v>
      </c>
    </row>
    <row r="643" spans="1:11" x14ac:dyDescent="0.3">
      <c r="A643" t="s">
        <v>674</v>
      </c>
      <c r="B643" s="1">
        <v>43309</v>
      </c>
      <c r="C643" t="s">
        <v>35</v>
      </c>
      <c r="D643" t="s">
        <v>32</v>
      </c>
      <c r="E643">
        <v>11</v>
      </c>
      <c r="F643">
        <v>150</v>
      </c>
      <c r="G643">
        <v>1650</v>
      </c>
      <c r="H643">
        <v>0.09</v>
      </c>
      <c r="I643">
        <v>148.5</v>
      </c>
      <c r="J643">
        <v>1502</v>
      </c>
      <c r="K643" t="s">
        <v>36</v>
      </c>
    </row>
    <row r="644" spans="1:11" x14ac:dyDescent="0.3">
      <c r="A644" t="s">
        <v>675</v>
      </c>
      <c r="B644" s="1">
        <v>43309</v>
      </c>
      <c r="C644" t="s">
        <v>20</v>
      </c>
      <c r="D644" t="s">
        <v>13</v>
      </c>
      <c r="E644">
        <v>11</v>
      </c>
      <c r="F644">
        <v>230</v>
      </c>
      <c r="G644">
        <v>2530</v>
      </c>
      <c r="H644">
        <v>0.02</v>
      </c>
      <c r="I644">
        <v>50.6</v>
      </c>
      <c r="J644">
        <v>2479</v>
      </c>
      <c r="K644" t="s">
        <v>38</v>
      </c>
    </row>
    <row r="645" spans="1:11" x14ac:dyDescent="0.3">
      <c r="A645" t="s">
        <v>676</v>
      </c>
      <c r="B645" s="1">
        <v>43309</v>
      </c>
      <c r="C645" t="s">
        <v>20</v>
      </c>
      <c r="D645" t="s">
        <v>32</v>
      </c>
      <c r="E645">
        <v>13</v>
      </c>
      <c r="F645">
        <v>230</v>
      </c>
      <c r="G645">
        <v>2990</v>
      </c>
      <c r="H645">
        <v>0.06</v>
      </c>
      <c r="I645">
        <v>179.4</v>
      </c>
      <c r="J645">
        <v>2811</v>
      </c>
      <c r="K645" t="s">
        <v>40</v>
      </c>
    </row>
    <row r="646" spans="1:11" x14ac:dyDescent="0.3">
      <c r="A646" t="s">
        <v>677</v>
      </c>
      <c r="B646" s="1">
        <v>43310</v>
      </c>
      <c r="C646" t="s">
        <v>12</v>
      </c>
      <c r="D646" t="s">
        <v>28</v>
      </c>
      <c r="E646">
        <v>11</v>
      </c>
      <c r="F646">
        <v>80</v>
      </c>
      <c r="G646">
        <v>880</v>
      </c>
      <c r="H646">
        <v>0.01</v>
      </c>
      <c r="I646">
        <v>8.8000000000000007</v>
      </c>
      <c r="J646">
        <v>871</v>
      </c>
      <c r="K646" t="s">
        <v>33</v>
      </c>
    </row>
    <row r="647" spans="1:11" x14ac:dyDescent="0.3">
      <c r="A647" t="s">
        <v>678</v>
      </c>
      <c r="B647" s="1">
        <v>43310</v>
      </c>
      <c r="C647" t="s">
        <v>12</v>
      </c>
      <c r="D647" t="s">
        <v>32</v>
      </c>
      <c r="E647">
        <v>17</v>
      </c>
      <c r="F647">
        <v>80</v>
      </c>
      <c r="G647">
        <v>1360</v>
      </c>
      <c r="H647">
        <v>7.0000000000000007E-2</v>
      </c>
      <c r="I647">
        <v>95.2</v>
      </c>
      <c r="J647">
        <v>1265</v>
      </c>
      <c r="K647" t="s">
        <v>36</v>
      </c>
    </row>
    <row r="648" spans="1:11" x14ac:dyDescent="0.3">
      <c r="A648" t="s">
        <v>679</v>
      </c>
      <c r="B648" s="1">
        <v>43310</v>
      </c>
      <c r="C648" t="s">
        <v>35</v>
      </c>
      <c r="D648" t="s">
        <v>32</v>
      </c>
      <c r="E648">
        <v>15</v>
      </c>
      <c r="F648">
        <v>150</v>
      </c>
      <c r="G648">
        <v>2250</v>
      </c>
      <c r="H648">
        <v>7.0000000000000007E-2</v>
      </c>
      <c r="I648">
        <v>157.50000000000003</v>
      </c>
      <c r="J648">
        <v>2092</v>
      </c>
      <c r="K648" t="s">
        <v>38</v>
      </c>
    </row>
    <row r="649" spans="1:11" x14ac:dyDescent="0.3">
      <c r="A649" t="s">
        <v>680</v>
      </c>
      <c r="B649" s="1">
        <v>43310</v>
      </c>
      <c r="C649" t="s">
        <v>31</v>
      </c>
      <c r="D649" t="s">
        <v>32</v>
      </c>
      <c r="E649">
        <v>14</v>
      </c>
      <c r="F649">
        <v>16</v>
      </c>
      <c r="G649">
        <v>224</v>
      </c>
      <c r="H649">
        <v>0.06</v>
      </c>
      <c r="I649">
        <v>13.44</v>
      </c>
      <c r="J649">
        <v>211</v>
      </c>
      <c r="K649" t="s">
        <v>40</v>
      </c>
    </row>
    <row r="650" spans="1:11" x14ac:dyDescent="0.3">
      <c r="A650" t="s">
        <v>681</v>
      </c>
      <c r="B650" s="1">
        <v>43310</v>
      </c>
      <c r="C650" t="s">
        <v>31</v>
      </c>
      <c r="D650" t="s">
        <v>17</v>
      </c>
      <c r="E650">
        <v>4</v>
      </c>
      <c r="F650">
        <v>16</v>
      </c>
      <c r="G650">
        <v>64</v>
      </c>
      <c r="H650">
        <v>7.0000000000000007E-2</v>
      </c>
      <c r="I650">
        <v>4.4800000000000004</v>
      </c>
      <c r="J650">
        <v>60</v>
      </c>
      <c r="K650" t="s">
        <v>33</v>
      </c>
    </row>
    <row r="651" spans="1:11" x14ac:dyDescent="0.3">
      <c r="A651" t="s">
        <v>682</v>
      </c>
      <c r="B651" s="1">
        <v>43310</v>
      </c>
      <c r="C651" t="s">
        <v>35</v>
      </c>
      <c r="D651" t="s">
        <v>32</v>
      </c>
      <c r="E651">
        <v>23</v>
      </c>
      <c r="F651">
        <v>150</v>
      </c>
      <c r="G651">
        <v>3450</v>
      </c>
      <c r="H651">
        <v>0.08</v>
      </c>
      <c r="I651">
        <v>276</v>
      </c>
      <c r="J651">
        <v>3174</v>
      </c>
      <c r="K651" t="s">
        <v>36</v>
      </c>
    </row>
    <row r="652" spans="1:11" x14ac:dyDescent="0.3">
      <c r="A652" t="s">
        <v>683</v>
      </c>
      <c r="B652" s="1">
        <v>43310</v>
      </c>
      <c r="C652" t="s">
        <v>12</v>
      </c>
      <c r="D652" t="s">
        <v>25</v>
      </c>
      <c r="E652">
        <v>10</v>
      </c>
      <c r="F652">
        <v>80</v>
      </c>
      <c r="G652">
        <v>800</v>
      </c>
      <c r="H652">
        <v>0.11</v>
      </c>
      <c r="I652">
        <v>88</v>
      </c>
      <c r="J652">
        <v>712</v>
      </c>
      <c r="K652" t="s">
        <v>38</v>
      </c>
    </row>
    <row r="653" spans="1:11" x14ac:dyDescent="0.3">
      <c r="A653" t="s">
        <v>684</v>
      </c>
      <c r="B653" s="1">
        <v>43310</v>
      </c>
      <c r="C653" t="s">
        <v>20</v>
      </c>
      <c r="D653" t="s">
        <v>25</v>
      </c>
      <c r="E653">
        <v>7</v>
      </c>
      <c r="F653">
        <v>230</v>
      </c>
      <c r="G653">
        <v>1610</v>
      </c>
      <c r="H653">
        <v>0.01</v>
      </c>
      <c r="I653">
        <v>16.100000000000001</v>
      </c>
      <c r="J653">
        <v>1594</v>
      </c>
      <c r="K653" t="s">
        <v>40</v>
      </c>
    </row>
    <row r="654" spans="1:11" x14ac:dyDescent="0.3">
      <c r="A654" t="s">
        <v>685</v>
      </c>
      <c r="B654" s="1">
        <v>43310</v>
      </c>
      <c r="C654" t="s">
        <v>20</v>
      </c>
      <c r="D654" t="s">
        <v>13</v>
      </c>
      <c r="E654">
        <v>16</v>
      </c>
      <c r="F654">
        <v>230</v>
      </c>
      <c r="G654">
        <v>3680</v>
      </c>
      <c r="H654">
        <v>7.0000000000000007E-2</v>
      </c>
      <c r="I654">
        <v>257.60000000000002</v>
      </c>
      <c r="J654">
        <v>3422</v>
      </c>
      <c r="K654" t="s">
        <v>33</v>
      </c>
    </row>
    <row r="655" spans="1:11" x14ac:dyDescent="0.3">
      <c r="A655" t="s">
        <v>686</v>
      </c>
      <c r="B655" s="1">
        <v>43310</v>
      </c>
      <c r="C655" t="s">
        <v>31</v>
      </c>
      <c r="D655" t="s">
        <v>32</v>
      </c>
      <c r="E655">
        <v>17</v>
      </c>
      <c r="F655">
        <v>16</v>
      </c>
      <c r="G655">
        <v>272</v>
      </c>
      <c r="H655">
        <v>0.08</v>
      </c>
      <c r="I655">
        <v>21.76</v>
      </c>
      <c r="J655">
        <v>250</v>
      </c>
      <c r="K655" t="s">
        <v>36</v>
      </c>
    </row>
    <row r="656" spans="1:11" x14ac:dyDescent="0.3">
      <c r="A656" t="s">
        <v>687</v>
      </c>
      <c r="B656" s="1">
        <v>43311</v>
      </c>
      <c r="C656" t="s">
        <v>12</v>
      </c>
      <c r="D656" t="s">
        <v>32</v>
      </c>
      <c r="E656">
        <v>6</v>
      </c>
      <c r="F656">
        <v>80</v>
      </c>
      <c r="G656">
        <v>480</v>
      </c>
      <c r="H656">
        <v>0.09</v>
      </c>
      <c r="I656">
        <v>43.199999999999996</v>
      </c>
      <c r="J656">
        <v>437</v>
      </c>
      <c r="K656" t="s">
        <v>38</v>
      </c>
    </row>
    <row r="657" spans="1:11" x14ac:dyDescent="0.3">
      <c r="A657" t="s">
        <v>688</v>
      </c>
      <c r="B657" s="1">
        <v>43311</v>
      </c>
      <c r="C657" t="s">
        <v>35</v>
      </c>
      <c r="D657" t="s">
        <v>25</v>
      </c>
      <c r="E657">
        <v>22</v>
      </c>
      <c r="F657">
        <v>150</v>
      </c>
      <c r="G657">
        <v>3300</v>
      </c>
      <c r="H657">
        <v>0.04</v>
      </c>
      <c r="I657">
        <v>132</v>
      </c>
      <c r="J657">
        <v>3168</v>
      </c>
      <c r="K657" t="s">
        <v>40</v>
      </c>
    </row>
    <row r="658" spans="1:11" x14ac:dyDescent="0.3">
      <c r="A658" t="s">
        <v>689</v>
      </c>
      <c r="B658" s="1">
        <v>43311</v>
      </c>
      <c r="C658" t="s">
        <v>16</v>
      </c>
      <c r="D658" t="s">
        <v>32</v>
      </c>
      <c r="E658">
        <v>20</v>
      </c>
      <c r="F658">
        <v>40</v>
      </c>
      <c r="G658">
        <v>800</v>
      </c>
      <c r="H658">
        <v>0.03</v>
      </c>
      <c r="I658">
        <v>24</v>
      </c>
      <c r="J658">
        <v>776</v>
      </c>
      <c r="K658" t="s">
        <v>33</v>
      </c>
    </row>
    <row r="659" spans="1:11" x14ac:dyDescent="0.3">
      <c r="A659" t="s">
        <v>690</v>
      </c>
      <c r="B659" s="1">
        <v>43311</v>
      </c>
      <c r="C659" t="s">
        <v>35</v>
      </c>
      <c r="D659" t="s">
        <v>17</v>
      </c>
      <c r="E659">
        <v>16</v>
      </c>
      <c r="F659">
        <v>150</v>
      </c>
      <c r="G659">
        <v>2400</v>
      </c>
      <c r="H659">
        <v>0.08</v>
      </c>
      <c r="I659">
        <v>192</v>
      </c>
      <c r="J659">
        <v>2208</v>
      </c>
      <c r="K659" t="s">
        <v>36</v>
      </c>
    </row>
    <row r="660" spans="1:11" x14ac:dyDescent="0.3">
      <c r="A660" t="s">
        <v>691</v>
      </c>
      <c r="B660" s="1">
        <v>43311</v>
      </c>
      <c r="C660" t="s">
        <v>12</v>
      </c>
      <c r="D660" t="s">
        <v>17</v>
      </c>
      <c r="E660">
        <v>5</v>
      </c>
      <c r="F660">
        <v>80</v>
      </c>
      <c r="G660">
        <v>400</v>
      </c>
      <c r="H660">
        <v>7.0000000000000007E-2</v>
      </c>
      <c r="I660">
        <v>28.000000000000004</v>
      </c>
      <c r="J660">
        <v>372</v>
      </c>
      <c r="K660" t="s">
        <v>38</v>
      </c>
    </row>
    <row r="661" spans="1:11" x14ac:dyDescent="0.3">
      <c r="A661" t="s">
        <v>692</v>
      </c>
      <c r="B661" s="1">
        <v>43311</v>
      </c>
      <c r="C661" t="s">
        <v>35</v>
      </c>
      <c r="D661" t="s">
        <v>28</v>
      </c>
      <c r="E661">
        <v>6</v>
      </c>
      <c r="F661">
        <v>150</v>
      </c>
      <c r="G661">
        <v>900</v>
      </c>
      <c r="H661">
        <v>0.03</v>
      </c>
      <c r="I661">
        <v>27</v>
      </c>
      <c r="J661">
        <v>873</v>
      </c>
      <c r="K661" t="s">
        <v>40</v>
      </c>
    </row>
    <row r="662" spans="1:11" x14ac:dyDescent="0.3">
      <c r="A662" t="s">
        <v>693</v>
      </c>
      <c r="B662" s="1">
        <v>43312</v>
      </c>
      <c r="C662" t="s">
        <v>12</v>
      </c>
      <c r="D662" t="s">
        <v>17</v>
      </c>
      <c r="E662">
        <v>9</v>
      </c>
      <c r="F662">
        <v>80</v>
      </c>
      <c r="G662">
        <v>720</v>
      </c>
      <c r="H662">
        <v>0.03</v>
      </c>
      <c r="I662">
        <v>21.599999999999998</v>
      </c>
      <c r="J662">
        <v>698</v>
      </c>
      <c r="K662" t="s">
        <v>33</v>
      </c>
    </row>
    <row r="663" spans="1:11" x14ac:dyDescent="0.3">
      <c r="A663" t="s">
        <v>694</v>
      </c>
      <c r="B663" s="1">
        <v>43312</v>
      </c>
      <c r="C663" t="s">
        <v>12</v>
      </c>
      <c r="D663" t="s">
        <v>13</v>
      </c>
      <c r="E663">
        <v>8</v>
      </c>
      <c r="F663">
        <v>80</v>
      </c>
      <c r="G663">
        <v>640</v>
      </c>
      <c r="H663">
        <v>0.08</v>
      </c>
      <c r="I663">
        <v>51.2</v>
      </c>
      <c r="J663">
        <v>589</v>
      </c>
      <c r="K663" t="s">
        <v>36</v>
      </c>
    </row>
    <row r="664" spans="1:11" x14ac:dyDescent="0.3">
      <c r="A664" t="s">
        <v>695</v>
      </c>
      <c r="B664" s="1">
        <v>43312</v>
      </c>
      <c r="C664" t="s">
        <v>20</v>
      </c>
      <c r="D664" t="s">
        <v>28</v>
      </c>
      <c r="E664">
        <v>8</v>
      </c>
      <c r="F664">
        <v>230</v>
      </c>
      <c r="G664">
        <v>1840</v>
      </c>
      <c r="H664">
        <v>0.01</v>
      </c>
      <c r="I664">
        <v>18.400000000000002</v>
      </c>
      <c r="J664">
        <v>1822</v>
      </c>
      <c r="K664" t="s">
        <v>38</v>
      </c>
    </row>
    <row r="665" spans="1:11" x14ac:dyDescent="0.3">
      <c r="A665" t="s">
        <v>696</v>
      </c>
      <c r="B665" s="1">
        <v>43312</v>
      </c>
      <c r="C665" t="s">
        <v>31</v>
      </c>
      <c r="D665" t="s">
        <v>32</v>
      </c>
      <c r="E665">
        <v>12</v>
      </c>
      <c r="F665">
        <v>16</v>
      </c>
      <c r="G665">
        <v>192</v>
      </c>
      <c r="H665">
        <v>0.04</v>
      </c>
      <c r="I665">
        <v>7.68</v>
      </c>
      <c r="J665">
        <v>184</v>
      </c>
      <c r="K665" t="s">
        <v>40</v>
      </c>
    </row>
    <row r="666" spans="1:11" x14ac:dyDescent="0.3">
      <c r="A666" t="s">
        <v>697</v>
      </c>
      <c r="B666" s="1">
        <v>43312</v>
      </c>
      <c r="C666" t="s">
        <v>31</v>
      </c>
      <c r="D666" t="s">
        <v>28</v>
      </c>
      <c r="E666">
        <v>18</v>
      </c>
      <c r="F666">
        <v>16</v>
      </c>
      <c r="G666">
        <v>288</v>
      </c>
      <c r="H666">
        <v>0.04</v>
      </c>
      <c r="I666">
        <v>11.52</v>
      </c>
      <c r="J666">
        <v>276</v>
      </c>
      <c r="K666" t="s">
        <v>33</v>
      </c>
    </row>
    <row r="667" spans="1:11" x14ac:dyDescent="0.3">
      <c r="A667" t="s">
        <v>698</v>
      </c>
      <c r="B667" s="1">
        <v>43282</v>
      </c>
      <c r="C667" t="s">
        <v>31</v>
      </c>
      <c r="D667" t="s">
        <v>28</v>
      </c>
      <c r="E667">
        <v>10</v>
      </c>
      <c r="F667">
        <v>16</v>
      </c>
      <c r="G667">
        <v>160</v>
      </c>
      <c r="H667">
        <v>0.01</v>
      </c>
      <c r="I667">
        <v>1.6</v>
      </c>
      <c r="J667">
        <v>158</v>
      </c>
      <c r="K667" t="s">
        <v>36</v>
      </c>
    </row>
    <row r="668" spans="1:11" x14ac:dyDescent="0.3">
      <c r="A668" t="s">
        <v>699</v>
      </c>
      <c r="B668" s="1">
        <v>43282</v>
      </c>
      <c r="C668" t="s">
        <v>31</v>
      </c>
      <c r="D668" t="s">
        <v>28</v>
      </c>
      <c r="E668">
        <v>14</v>
      </c>
      <c r="F668">
        <v>16</v>
      </c>
      <c r="G668">
        <v>224</v>
      </c>
      <c r="H668">
        <v>0.12</v>
      </c>
      <c r="I668">
        <v>26.88</v>
      </c>
      <c r="J668">
        <v>197</v>
      </c>
      <c r="K668" t="s">
        <v>38</v>
      </c>
    </row>
    <row r="669" spans="1:11" x14ac:dyDescent="0.3">
      <c r="A669" t="s">
        <v>700</v>
      </c>
      <c r="B669" s="1">
        <v>43282</v>
      </c>
      <c r="C669" t="s">
        <v>16</v>
      </c>
      <c r="D669" t="s">
        <v>25</v>
      </c>
      <c r="E669">
        <v>6</v>
      </c>
      <c r="F669">
        <v>40</v>
      </c>
      <c r="G669">
        <v>240</v>
      </c>
      <c r="H669">
        <v>0.06</v>
      </c>
      <c r="I669">
        <v>14.399999999999999</v>
      </c>
      <c r="J669">
        <v>226</v>
      </c>
      <c r="K669" t="s">
        <v>40</v>
      </c>
    </row>
    <row r="670" spans="1:11" x14ac:dyDescent="0.3">
      <c r="A670" t="s">
        <v>701</v>
      </c>
      <c r="B670" s="1">
        <v>43282</v>
      </c>
      <c r="C670" t="s">
        <v>16</v>
      </c>
      <c r="D670" t="s">
        <v>28</v>
      </c>
      <c r="E670">
        <v>13</v>
      </c>
      <c r="F670">
        <v>40</v>
      </c>
      <c r="G670">
        <v>520</v>
      </c>
      <c r="H670">
        <v>0.09</v>
      </c>
      <c r="I670">
        <v>46.8</v>
      </c>
      <c r="J670">
        <v>473</v>
      </c>
      <c r="K670" t="s">
        <v>33</v>
      </c>
    </row>
    <row r="671" spans="1:11" x14ac:dyDescent="0.3">
      <c r="A671" t="s">
        <v>702</v>
      </c>
      <c r="B671" s="1">
        <v>43282</v>
      </c>
      <c r="C671" t="s">
        <v>31</v>
      </c>
      <c r="D671" t="s">
        <v>28</v>
      </c>
      <c r="E671">
        <v>10</v>
      </c>
      <c r="F671">
        <v>16</v>
      </c>
      <c r="G671">
        <v>160</v>
      </c>
      <c r="H671">
        <v>0.04</v>
      </c>
      <c r="I671">
        <v>6.4</v>
      </c>
      <c r="J671">
        <v>154</v>
      </c>
      <c r="K671" t="s">
        <v>36</v>
      </c>
    </row>
    <row r="672" spans="1:11" x14ac:dyDescent="0.3">
      <c r="A672" t="s">
        <v>703</v>
      </c>
      <c r="B672" s="1">
        <v>43282</v>
      </c>
      <c r="C672" t="s">
        <v>12</v>
      </c>
      <c r="D672" t="s">
        <v>17</v>
      </c>
      <c r="E672">
        <v>14</v>
      </c>
      <c r="F672">
        <v>80</v>
      </c>
      <c r="G672">
        <v>1120</v>
      </c>
      <c r="H672">
        <v>0.11</v>
      </c>
      <c r="I672">
        <v>123.2</v>
      </c>
      <c r="J672">
        <v>997</v>
      </c>
      <c r="K672" t="s">
        <v>38</v>
      </c>
    </row>
    <row r="673" spans="1:11" x14ac:dyDescent="0.3">
      <c r="A673" t="s">
        <v>704</v>
      </c>
      <c r="B673" s="1">
        <v>43282</v>
      </c>
      <c r="C673" t="s">
        <v>16</v>
      </c>
      <c r="D673" t="s">
        <v>17</v>
      </c>
      <c r="E673">
        <v>4</v>
      </c>
      <c r="F673">
        <v>40</v>
      </c>
      <c r="G673">
        <v>160</v>
      </c>
      <c r="H673">
        <v>0.06</v>
      </c>
      <c r="I673">
        <v>9.6</v>
      </c>
      <c r="J673">
        <v>150</v>
      </c>
      <c r="K673" t="s">
        <v>40</v>
      </c>
    </row>
    <row r="674" spans="1:11" x14ac:dyDescent="0.3">
      <c r="A674" t="s">
        <v>705</v>
      </c>
      <c r="B674" s="1">
        <v>43282</v>
      </c>
      <c r="C674" t="s">
        <v>16</v>
      </c>
      <c r="D674" t="s">
        <v>25</v>
      </c>
      <c r="E674">
        <v>11</v>
      </c>
      <c r="F674">
        <v>40</v>
      </c>
      <c r="G674">
        <v>440</v>
      </c>
      <c r="H674">
        <v>0.05</v>
      </c>
      <c r="I674">
        <v>22</v>
      </c>
      <c r="J674">
        <v>418</v>
      </c>
      <c r="K674" t="s">
        <v>33</v>
      </c>
    </row>
    <row r="675" spans="1:11" x14ac:dyDescent="0.3">
      <c r="A675" t="s">
        <v>706</v>
      </c>
      <c r="B675" s="1">
        <v>43282</v>
      </c>
      <c r="C675" t="s">
        <v>31</v>
      </c>
      <c r="D675" t="s">
        <v>25</v>
      </c>
      <c r="E675">
        <v>14</v>
      </c>
      <c r="F675">
        <v>16</v>
      </c>
      <c r="G675">
        <v>224</v>
      </c>
      <c r="H675">
        <v>0.01</v>
      </c>
      <c r="I675">
        <v>2.2400000000000002</v>
      </c>
      <c r="J675">
        <v>222</v>
      </c>
      <c r="K675" t="s">
        <v>36</v>
      </c>
    </row>
    <row r="676" spans="1:11" x14ac:dyDescent="0.3">
      <c r="A676" t="s">
        <v>707</v>
      </c>
      <c r="B676" s="1">
        <v>43282</v>
      </c>
      <c r="C676" t="s">
        <v>35</v>
      </c>
      <c r="D676" t="s">
        <v>13</v>
      </c>
      <c r="E676">
        <v>20</v>
      </c>
      <c r="F676">
        <v>150</v>
      </c>
      <c r="G676">
        <v>3000</v>
      </c>
      <c r="H676">
        <v>0.04</v>
      </c>
      <c r="I676">
        <v>120</v>
      </c>
      <c r="J676">
        <v>2880</v>
      </c>
      <c r="K676" t="s">
        <v>38</v>
      </c>
    </row>
    <row r="677" spans="1:11" x14ac:dyDescent="0.3">
      <c r="A677" t="s">
        <v>708</v>
      </c>
      <c r="B677" s="1">
        <v>43282</v>
      </c>
      <c r="C677" t="s">
        <v>16</v>
      </c>
      <c r="D677" t="s">
        <v>28</v>
      </c>
      <c r="E677">
        <v>9</v>
      </c>
      <c r="F677">
        <v>40</v>
      </c>
      <c r="G677">
        <v>360</v>
      </c>
      <c r="H677">
        <v>0.06</v>
      </c>
      <c r="I677">
        <v>21.599999999999998</v>
      </c>
      <c r="J677">
        <v>338</v>
      </c>
      <c r="K677" t="s">
        <v>40</v>
      </c>
    </row>
    <row r="678" spans="1:11" x14ac:dyDescent="0.3">
      <c r="A678" t="s">
        <v>709</v>
      </c>
      <c r="B678" s="1">
        <v>43282</v>
      </c>
      <c r="C678" t="s">
        <v>35</v>
      </c>
      <c r="D678" t="s">
        <v>25</v>
      </c>
      <c r="E678">
        <v>18</v>
      </c>
      <c r="F678">
        <v>150</v>
      </c>
      <c r="G678">
        <v>2700</v>
      </c>
      <c r="H678">
        <v>0.06</v>
      </c>
      <c r="I678">
        <v>162</v>
      </c>
      <c r="J678">
        <v>2538</v>
      </c>
      <c r="K678" t="s">
        <v>33</v>
      </c>
    </row>
    <row r="679" spans="1:11" x14ac:dyDescent="0.3">
      <c r="A679" t="s">
        <v>710</v>
      </c>
      <c r="B679" s="1">
        <v>43282</v>
      </c>
      <c r="C679" t="s">
        <v>20</v>
      </c>
      <c r="D679" t="s">
        <v>32</v>
      </c>
      <c r="E679">
        <v>17</v>
      </c>
      <c r="F679">
        <v>230</v>
      </c>
      <c r="G679">
        <v>3910</v>
      </c>
      <c r="H679">
        <v>0.11</v>
      </c>
      <c r="I679">
        <v>430.1</v>
      </c>
      <c r="J679">
        <v>3480</v>
      </c>
      <c r="K679" t="s">
        <v>36</v>
      </c>
    </row>
    <row r="680" spans="1:11" x14ac:dyDescent="0.3">
      <c r="A680" t="s">
        <v>711</v>
      </c>
      <c r="B680" s="1">
        <v>43283</v>
      </c>
      <c r="C680" t="s">
        <v>16</v>
      </c>
      <c r="D680" t="s">
        <v>13</v>
      </c>
      <c r="E680">
        <v>20</v>
      </c>
      <c r="F680">
        <v>40</v>
      </c>
      <c r="G680">
        <v>800</v>
      </c>
      <c r="H680">
        <v>0.04</v>
      </c>
      <c r="I680">
        <v>32</v>
      </c>
      <c r="J680">
        <v>768</v>
      </c>
      <c r="K680" t="s">
        <v>38</v>
      </c>
    </row>
    <row r="681" spans="1:11" x14ac:dyDescent="0.3">
      <c r="A681" t="s">
        <v>712</v>
      </c>
      <c r="B681" s="1">
        <v>43283</v>
      </c>
      <c r="C681" t="s">
        <v>16</v>
      </c>
      <c r="D681" t="s">
        <v>13</v>
      </c>
      <c r="E681">
        <v>23</v>
      </c>
      <c r="F681">
        <v>40</v>
      </c>
      <c r="G681">
        <v>920</v>
      </c>
      <c r="H681">
        <v>0.03</v>
      </c>
      <c r="I681">
        <v>27.599999999999998</v>
      </c>
      <c r="J681">
        <v>892</v>
      </c>
      <c r="K681" t="s">
        <v>40</v>
      </c>
    </row>
    <row r="682" spans="1:11" x14ac:dyDescent="0.3">
      <c r="A682" t="s">
        <v>713</v>
      </c>
      <c r="B682" s="1">
        <v>43283</v>
      </c>
      <c r="C682" t="s">
        <v>20</v>
      </c>
      <c r="D682" t="s">
        <v>32</v>
      </c>
      <c r="E682">
        <v>21</v>
      </c>
      <c r="F682">
        <v>230</v>
      </c>
      <c r="G682">
        <v>4830</v>
      </c>
      <c r="H682">
        <v>0.05</v>
      </c>
      <c r="I682">
        <v>241.5</v>
      </c>
      <c r="J682">
        <v>4588</v>
      </c>
      <c r="K682" t="s">
        <v>33</v>
      </c>
    </row>
    <row r="683" spans="1:11" x14ac:dyDescent="0.3">
      <c r="A683" t="s">
        <v>714</v>
      </c>
      <c r="B683" s="1">
        <v>43283</v>
      </c>
      <c r="C683" t="s">
        <v>12</v>
      </c>
      <c r="D683" t="s">
        <v>25</v>
      </c>
      <c r="E683">
        <v>6</v>
      </c>
      <c r="F683">
        <v>80</v>
      </c>
      <c r="G683">
        <v>480</v>
      </c>
      <c r="H683">
        <v>0.09</v>
      </c>
      <c r="I683">
        <v>43.199999999999996</v>
      </c>
      <c r="J683">
        <v>437</v>
      </c>
      <c r="K683" t="s">
        <v>36</v>
      </c>
    </row>
    <row r="684" spans="1:11" x14ac:dyDescent="0.3">
      <c r="A684" t="s">
        <v>715</v>
      </c>
      <c r="B684" s="1">
        <v>43283</v>
      </c>
      <c r="C684" t="s">
        <v>31</v>
      </c>
      <c r="D684" t="s">
        <v>13</v>
      </c>
      <c r="E684">
        <v>20</v>
      </c>
      <c r="F684">
        <v>16</v>
      </c>
      <c r="G684">
        <v>320</v>
      </c>
      <c r="H684">
        <v>0.01</v>
      </c>
      <c r="I684">
        <v>3.2</v>
      </c>
      <c r="J684">
        <v>317</v>
      </c>
      <c r="K684" t="s">
        <v>38</v>
      </c>
    </row>
    <row r="685" spans="1:11" x14ac:dyDescent="0.3">
      <c r="A685" t="s">
        <v>716</v>
      </c>
      <c r="B685" s="1">
        <v>43283</v>
      </c>
      <c r="C685" t="s">
        <v>16</v>
      </c>
      <c r="D685" t="s">
        <v>17</v>
      </c>
      <c r="E685">
        <v>8</v>
      </c>
      <c r="F685">
        <v>40</v>
      </c>
      <c r="G685">
        <v>320</v>
      </c>
      <c r="H685">
        <v>0.09</v>
      </c>
      <c r="I685">
        <v>28.799999999999997</v>
      </c>
      <c r="J685">
        <v>291</v>
      </c>
      <c r="K685" t="s">
        <v>40</v>
      </c>
    </row>
    <row r="686" spans="1:11" x14ac:dyDescent="0.3">
      <c r="A686" t="s">
        <v>717</v>
      </c>
      <c r="B686" s="1">
        <v>43283</v>
      </c>
      <c r="C686" t="s">
        <v>20</v>
      </c>
      <c r="D686" t="s">
        <v>17</v>
      </c>
      <c r="E686">
        <v>15</v>
      </c>
      <c r="F686">
        <v>230</v>
      </c>
      <c r="G686">
        <v>3450</v>
      </c>
      <c r="H686">
        <v>0.09</v>
      </c>
      <c r="I686">
        <v>310.5</v>
      </c>
      <c r="J686">
        <v>3140</v>
      </c>
      <c r="K686" t="s">
        <v>33</v>
      </c>
    </row>
    <row r="687" spans="1:11" x14ac:dyDescent="0.3">
      <c r="A687" t="s">
        <v>718</v>
      </c>
      <c r="B687" s="1">
        <v>43284</v>
      </c>
      <c r="C687" t="s">
        <v>12</v>
      </c>
      <c r="D687" t="s">
        <v>28</v>
      </c>
      <c r="E687">
        <v>21</v>
      </c>
      <c r="F687">
        <v>80</v>
      </c>
      <c r="G687">
        <v>1680</v>
      </c>
      <c r="H687">
        <v>0.02</v>
      </c>
      <c r="I687">
        <v>33.6</v>
      </c>
      <c r="J687">
        <v>1646</v>
      </c>
      <c r="K687" t="s">
        <v>36</v>
      </c>
    </row>
    <row r="688" spans="1:11" x14ac:dyDescent="0.3">
      <c r="A688" t="s">
        <v>719</v>
      </c>
      <c r="B688" s="1">
        <v>43284</v>
      </c>
      <c r="C688" t="s">
        <v>12</v>
      </c>
      <c r="D688" t="s">
        <v>28</v>
      </c>
      <c r="E688">
        <v>19</v>
      </c>
      <c r="F688">
        <v>80</v>
      </c>
      <c r="G688">
        <v>1520</v>
      </c>
      <c r="H688">
        <v>0.02</v>
      </c>
      <c r="I688">
        <v>30.400000000000002</v>
      </c>
      <c r="J688">
        <v>1490</v>
      </c>
      <c r="K688" t="s">
        <v>38</v>
      </c>
    </row>
    <row r="689" spans="1:11" x14ac:dyDescent="0.3">
      <c r="A689" t="s">
        <v>720</v>
      </c>
      <c r="B689" s="1">
        <v>43284</v>
      </c>
      <c r="C689" t="s">
        <v>31</v>
      </c>
      <c r="D689" t="s">
        <v>13</v>
      </c>
      <c r="E689">
        <v>7</v>
      </c>
      <c r="F689">
        <v>16</v>
      </c>
      <c r="G689">
        <v>112</v>
      </c>
      <c r="H689">
        <v>0.08</v>
      </c>
      <c r="I689">
        <v>8.9600000000000009</v>
      </c>
      <c r="J689">
        <v>103</v>
      </c>
      <c r="K689" t="s">
        <v>40</v>
      </c>
    </row>
    <row r="690" spans="1:11" x14ac:dyDescent="0.3">
      <c r="A690" t="s">
        <v>721</v>
      </c>
      <c r="B690" s="1">
        <v>43284</v>
      </c>
      <c r="C690" t="s">
        <v>16</v>
      </c>
      <c r="D690" t="s">
        <v>32</v>
      </c>
      <c r="E690">
        <v>11</v>
      </c>
      <c r="F690">
        <v>40</v>
      </c>
      <c r="G690">
        <v>440</v>
      </c>
      <c r="H690">
        <v>0.05</v>
      </c>
      <c r="I690">
        <v>22</v>
      </c>
      <c r="J690">
        <v>418</v>
      </c>
      <c r="K690" t="s">
        <v>33</v>
      </c>
    </row>
    <row r="691" spans="1:11" x14ac:dyDescent="0.3">
      <c r="A691" t="s">
        <v>722</v>
      </c>
      <c r="B691" s="1">
        <v>43284</v>
      </c>
      <c r="C691" t="s">
        <v>20</v>
      </c>
      <c r="D691" t="s">
        <v>28</v>
      </c>
      <c r="E691">
        <v>8</v>
      </c>
      <c r="F691">
        <v>230</v>
      </c>
      <c r="G691">
        <v>1840</v>
      </c>
      <c r="H691">
        <v>0.05</v>
      </c>
      <c r="I691">
        <v>92</v>
      </c>
      <c r="J691">
        <v>1748</v>
      </c>
      <c r="K691" t="s">
        <v>36</v>
      </c>
    </row>
    <row r="692" spans="1:11" x14ac:dyDescent="0.3">
      <c r="A692" t="s">
        <v>723</v>
      </c>
      <c r="B692" s="1">
        <v>43284</v>
      </c>
      <c r="C692" t="s">
        <v>12</v>
      </c>
      <c r="D692" t="s">
        <v>13</v>
      </c>
      <c r="E692">
        <v>18</v>
      </c>
      <c r="F692">
        <v>80</v>
      </c>
      <c r="G692">
        <v>1440</v>
      </c>
      <c r="H692">
        <v>0.02</v>
      </c>
      <c r="I692">
        <v>28.8</v>
      </c>
      <c r="J692">
        <v>1411</v>
      </c>
      <c r="K692" t="s">
        <v>38</v>
      </c>
    </row>
    <row r="693" spans="1:11" x14ac:dyDescent="0.3">
      <c r="A693" t="s">
        <v>724</v>
      </c>
      <c r="B693" s="1">
        <v>43284</v>
      </c>
      <c r="C693" t="s">
        <v>16</v>
      </c>
      <c r="D693" t="s">
        <v>13</v>
      </c>
      <c r="E693">
        <v>7</v>
      </c>
      <c r="F693">
        <v>40</v>
      </c>
      <c r="G693">
        <v>280</v>
      </c>
      <c r="H693">
        <v>0.1</v>
      </c>
      <c r="I693">
        <v>28</v>
      </c>
      <c r="J693">
        <v>252</v>
      </c>
      <c r="K693" t="s">
        <v>40</v>
      </c>
    </row>
    <row r="694" spans="1:11" x14ac:dyDescent="0.3">
      <c r="A694" t="s">
        <v>725</v>
      </c>
      <c r="B694" s="1">
        <v>43285</v>
      </c>
      <c r="C694" t="s">
        <v>31</v>
      </c>
      <c r="D694" t="s">
        <v>13</v>
      </c>
      <c r="E694">
        <v>16</v>
      </c>
      <c r="F694">
        <v>16</v>
      </c>
      <c r="G694">
        <v>256</v>
      </c>
      <c r="H694">
        <v>0.03</v>
      </c>
      <c r="I694">
        <v>7.68</v>
      </c>
      <c r="J694">
        <v>248</v>
      </c>
      <c r="K694" t="s">
        <v>33</v>
      </c>
    </row>
    <row r="695" spans="1:11" x14ac:dyDescent="0.3">
      <c r="A695" t="s">
        <v>726</v>
      </c>
      <c r="B695" s="1">
        <v>43285</v>
      </c>
      <c r="C695" t="s">
        <v>12</v>
      </c>
      <c r="D695" t="s">
        <v>13</v>
      </c>
      <c r="E695">
        <v>8</v>
      </c>
      <c r="F695">
        <v>80</v>
      </c>
      <c r="G695">
        <v>640</v>
      </c>
      <c r="H695">
        <v>0.08</v>
      </c>
      <c r="I695">
        <v>51.2</v>
      </c>
      <c r="J695">
        <v>589</v>
      </c>
      <c r="K695" t="s">
        <v>36</v>
      </c>
    </row>
    <row r="696" spans="1:11" x14ac:dyDescent="0.3">
      <c r="A696" t="s">
        <v>727</v>
      </c>
      <c r="B696" s="1">
        <v>43285</v>
      </c>
      <c r="C696" t="s">
        <v>20</v>
      </c>
      <c r="D696" t="s">
        <v>32</v>
      </c>
      <c r="E696">
        <v>22</v>
      </c>
      <c r="F696">
        <v>230</v>
      </c>
      <c r="G696">
        <v>5060</v>
      </c>
      <c r="H696">
        <v>0.1</v>
      </c>
      <c r="I696">
        <v>506</v>
      </c>
      <c r="J696">
        <v>4554</v>
      </c>
      <c r="K696" t="s">
        <v>38</v>
      </c>
    </row>
    <row r="697" spans="1:11" x14ac:dyDescent="0.3">
      <c r="A697" t="s">
        <v>728</v>
      </c>
      <c r="B697" s="1">
        <v>43285</v>
      </c>
      <c r="C697" t="s">
        <v>20</v>
      </c>
      <c r="D697" t="s">
        <v>32</v>
      </c>
      <c r="E697">
        <v>3</v>
      </c>
      <c r="F697">
        <v>230</v>
      </c>
      <c r="G697">
        <v>690</v>
      </c>
      <c r="H697">
        <v>0.1</v>
      </c>
      <c r="I697">
        <v>69</v>
      </c>
      <c r="J697">
        <v>621</v>
      </c>
      <c r="K697" t="s">
        <v>40</v>
      </c>
    </row>
    <row r="698" spans="1:11" x14ac:dyDescent="0.3">
      <c r="A698" t="s">
        <v>729</v>
      </c>
      <c r="B698" s="1">
        <v>43285</v>
      </c>
      <c r="C698" t="s">
        <v>20</v>
      </c>
      <c r="D698" t="s">
        <v>32</v>
      </c>
      <c r="E698">
        <v>20</v>
      </c>
      <c r="F698">
        <v>230</v>
      </c>
      <c r="G698">
        <v>4600</v>
      </c>
      <c r="H698">
        <v>0.11</v>
      </c>
      <c r="I698">
        <v>506</v>
      </c>
      <c r="J698">
        <v>4094</v>
      </c>
      <c r="K698" t="s">
        <v>33</v>
      </c>
    </row>
    <row r="699" spans="1:11" x14ac:dyDescent="0.3">
      <c r="A699" t="s">
        <v>730</v>
      </c>
      <c r="B699" s="1">
        <v>43285</v>
      </c>
      <c r="C699" t="s">
        <v>31</v>
      </c>
      <c r="D699" t="s">
        <v>25</v>
      </c>
      <c r="E699">
        <v>12</v>
      </c>
      <c r="F699">
        <v>16</v>
      </c>
      <c r="G699">
        <v>192</v>
      </c>
      <c r="H699">
        <v>0.03</v>
      </c>
      <c r="I699">
        <v>5.76</v>
      </c>
      <c r="J699">
        <v>186</v>
      </c>
      <c r="K699" t="s">
        <v>36</v>
      </c>
    </row>
    <row r="700" spans="1:11" x14ac:dyDescent="0.3">
      <c r="A700" t="s">
        <v>731</v>
      </c>
      <c r="B700" s="1">
        <v>43285</v>
      </c>
      <c r="C700" t="s">
        <v>16</v>
      </c>
      <c r="D700" t="s">
        <v>32</v>
      </c>
      <c r="E700">
        <v>20</v>
      </c>
      <c r="F700">
        <v>40</v>
      </c>
      <c r="G700">
        <v>800</v>
      </c>
      <c r="H700">
        <v>7.0000000000000007E-2</v>
      </c>
      <c r="I700">
        <v>56.000000000000007</v>
      </c>
      <c r="J700">
        <v>744</v>
      </c>
      <c r="K700" t="s">
        <v>38</v>
      </c>
    </row>
    <row r="701" spans="1:11" x14ac:dyDescent="0.3">
      <c r="A701" t="s">
        <v>732</v>
      </c>
      <c r="B701" s="1">
        <v>43285</v>
      </c>
      <c r="C701" t="s">
        <v>20</v>
      </c>
      <c r="D701" t="s">
        <v>13</v>
      </c>
      <c r="E701">
        <v>3</v>
      </c>
      <c r="F701">
        <v>230</v>
      </c>
      <c r="G701">
        <v>690</v>
      </c>
      <c r="H701">
        <v>0.06</v>
      </c>
      <c r="I701">
        <v>41.4</v>
      </c>
      <c r="J701">
        <v>649</v>
      </c>
      <c r="K701" t="s">
        <v>40</v>
      </c>
    </row>
    <row r="702" spans="1:11" x14ac:dyDescent="0.3">
      <c r="A702" t="s">
        <v>733</v>
      </c>
      <c r="B702" s="1">
        <v>43285</v>
      </c>
      <c r="C702" t="s">
        <v>12</v>
      </c>
      <c r="D702" t="s">
        <v>28</v>
      </c>
      <c r="E702">
        <v>16</v>
      </c>
      <c r="F702">
        <v>80</v>
      </c>
      <c r="G702">
        <v>1280</v>
      </c>
      <c r="H702">
        <v>7.0000000000000007E-2</v>
      </c>
      <c r="I702">
        <v>89.600000000000009</v>
      </c>
      <c r="J702">
        <v>1190</v>
      </c>
      <c r="K702" t="s">
        <v>33</v>
      </c>
    </row>
    <row r="703" spans="1:11" x14ac:dyDescent="0.3">
      <c r="A703" t="s">
        <v>734</v>
      </c>
      <c r="B703" s="1">
        <v>43286</v>
      </c>
      <c r="C703" t="s">
        <v>16</v>
      </c>
      <c r="D703" t="s">
        <v>32</v>
      </c>
      <c r="E703">
        <v>3</v>
      </c>
      <c r="F703">
        <v>40</v>
      </c>
      <c r="G703">
        <v>120</v>
      </c>
      <c r="H703">
        <v>0.03</v>
      </c>
      <c r="I703">
        <v>3.5999999999999996</v>
      </c>
      <c r="J703">
        <v>116</v>
      </c>
      <c r="K703" t="s">
        <v>36</v>
      </c>
    </row>
    <row r="704" spans="1:11" x14ac:dyDescent="0.3">
      <c r="A704" t="s">
        <v>735</v>
      </c>
      <c r="B704" s="1">
        <v>43286</v>
      </c>
      <c r="C704" t="s">
        <v>20</v>
      </c>
      <c r="D704" t="s">
        <v>25</v>
      </c>
      <c r="E704">
        <v>12</v>
      </c>
      <c r="F704">
        <v>230</v>
      </c>
      <c r="G704">
        <v>2760</v>
      </c>
      <c r="H704">
        <v>0.03</v>
      </c>
      <c r="I704">
        <v>82.8</v>
      </c>
      <c r="J704">
        <v>2677</v>
      </c>
      <c r="K704" t="s">
        <v>38</v>
      </c>
    </row>
    <row r="705" spans="1:11" x14ac:dyDescent="0.3">
      <c r="A705" t="s">
        <v>736</v>
      </c>
      <c r="B705" s="1">
        <v>43286</v>
      </c>
      <c r="C705" t="s">
        <v>16</v>
      </c>
      <c r="D705" t="s">
        <v>28</v>
      </c>
      <c r="E705">
        <v>22</v>
      </c>
      <c r="F705">
        <v>40</v>
      </c>
      <c r="G705">
        <v>880</v>
      </c>
      <c r="H705">
        <v>0.01</v>
      </c>
      <c r="I705">
        <v>8.8000000000000007</v>
      </c>
      <c r="J705">
        <v>871</v>
      </c>
      <c r="K705" t="s">
        <v>40</v>
      </c>
    </row>
    <row r="706" spans="1:11" x14ac:dyDescent="0.3">
      <c r="A706" t="s">
        <v>737</v>
      </c>
      <c r="B706" s="1">
        <v>43286</v>
      </c>
      <c r="C706" t="s">
        <v>16</v>
      </c>
      <c r="D706" t="s">
        <v>17</v>
      </c>
      <c r="E706">
        <v>19</v>
      </c>
      <c r="F706">
        <v>40</v>
      </c>
      <c r="G706">
        <v>760</v>
      </c>
      <c r="H706">
        <v>0.1</v>
      </c>
      <c r="I706">
        <v>76</v>
      </c>
      <c r="J706">
        <v>684</v>
      </c>
      <c r="K706" t="s">
        <v>33</v>
      </c>
    </row>
    <row r="707" spans="1:11" x14ac:dyDescent="0.3">
      <c r="A707" t="s">
        <v>738</v>
      </c>
      <c r="B707" s="1">
        <v>43286</v>
      </c>
      <c r="C707" t="s">
        <v>12</v>
      </c>
      <c r="D707" t="s">
        <v>17</v>
      </c>
      <c r="E707">
        <v>21</v>
      </c>
      <c r="F707">
        <v>80</v>
      </c>
      <c r="G707">
        <v>1680</v>
      </c>
      <c r="H707">
        <v>0.04</v>
      </c>
      <c r="I707">
        <v>67.2</v>
      </c>
      <c r="J707">
        <v>1613</v>
      </c>
      <c r="K707" t="s">
        <v>36</v>
      </c>
    </row>
    <row r="708" spans="1:11" x14ac:dyDescent="0.3">
      <c r="A708" t="s">
        <v>739</v>
      </c>
      <c r="B708" s="1">
        <v>43286</v>
      </c>
      <c r="C708" t="s">
        <v>12</v>
      </c>
      <c r="D708" t="s">
        <v>17</v>
      </c>
      <c r="E708">
        <v>2</v>
      </c>
      <c r="F708">
        <v>80</v>
      </c>
      <c r="G708">
        <v>160</v>
      </c>
      <c r="H708">
        <v>0.04</v>
      </c>
      <c r="I708">
        <v>6.4</v>
      </c>
      <c r="J708">
        <v>154</v>
      </c>
      <c r="K708" t="s">
        <v>38</v>
      </c>
    </row>
    <row r="709" spans="1:11" x14ac:dyDescent="0.3">
      <c r="A709" t="s">
        <v>740</v>
      </c>
      <c r="B709" s="1">
        <v>43286</v>
      </c>
      <c r="C709" t="s">
        <v>35</v>
      </c>
      <c r="D709" t="s">
        <v>17</v>
      </c>
      <c r="E709">
        <v>15</v>
      </c>
      <c r="F709">
        <v>150</v>
      </c>
      <c r="G709">
        <v>2250</v>
      </c>
      <c r="H709">
        <v>0.02</v>
      </c>
      <c r="I709">
        <v>45</v>
      </c>
      <c r="J709">
        <v>2205</v>
      </c>
      <c r="K709" t="s">
        <v>40</v>
      </c>
    </row>
    <row r="710" spans="1:11" x14ac:dyDescent="0.3">
      <c r="A710" t="s">
        <v>741</v>
      </c>
      <c r="B710" s="1">
        <v>43287</v>
      </c>
      <c r="C710" t="s">
        <v>16</v>
      </c>
      <c r="D710" t="s">
        <v>17</v>
      </c>
      <c r="E710">
        <v>14</v>
      </c>
      <c r="F710">
        <v>40</v>
      </c>
      <c r="G710">
        <v>560</v>
      </c>
      <c r="H710">
        <v>0.06</v>
      </c>
      <c r="I710">
        <v>33.6</v>
      </c>
      <c r="J710">
        <v>526</v>
      </c>
      <c r="K710" t="s">
        <v>33</v>
      </c>
    </row>
    <row r="711" spans="1:11" x14ac:dyDescent="0.3">
      <c r="A711" t="s">
        <v>742</v>
      </c>
      <c r="B711" s="1">
        <v>43287</v>
      </c>
      <c r="C711" t="s">
        <v>12</v>
      </c>
      <c r="D711" t="s">
        <v>28</v>
      </c>
      <c r="E711">
        <v>7</v>
      </c>
      <c r="F711">
        <v>80</v>
      </c>
      <c r="G711">
        <v>560</v>
      </c>
      <c r="H711">
        <v>7.0000000000000007E-2</v>
      </c>
      <c r="I711">
        <v>39.200000000000003</v>
      </c>
      <c r="J711">
        <v>521</v>
      </c>
      <c r="K711" t="s">
        <v>36</v>
      </c>
    </row>
    <row r="712" spans="1:11" x14ac:dyDescent="0.3">
      <c r="A712" t="s">
        <v>743</v>
      </c>
      <c r="B712" s="1">
        <v>43287</v>
      </c>
      <c r="C712" t="s">
        <v>12</v>
      </c>
      <c r="D712" t="s">
        <v>25</v>
      </c>
      <c r="E712">
        <v>7</v>
      </c>
      <c r="F712">
        <v>80</v>
      </c>
      <c r="G712">
        <v>560</v>
      </c>
      <c r="H712">
        <v>0.05</v>
      </c>
      <c r="I712">
        <v>28</v>
      </c>
      <c r="J712">
        <v>532</v>
      </c>
      <c r="K712" t="s">
        <v>38</v>
      </c>
    </row>
    <row r="713" spans="1:11" x14ac:dyDescent="0.3">
      <c r="A713" t="s">
        <v>744</v>
      </c>
      <c r="B713" s="1">
        <v>43287</v>
      </c>
      <c r="C713" t="s">
        <v>35</v>
      </c>
      <c r="D713" t="s">
        <v>17</v>
      </c>
      <c r="E713">
        <v>10</v>
      </c>
      <c r="F713">
        <v>150</v>
      </c>
      <c r="G713">
        <v>1500</v>
      </c>
      <c r="H713">
        <v>0.01</v>
      </c>
      <c r="I713">
        <v>15</v>
      </c>
      <c r="J713">
        <v>1485</v>
      </c>
      <c r="K713" t="s">
        <v>40</v>
      </c>
    </row>
    <row r="714" spans="1:11" x14ac:dyDescent="0.3">
      <c r="A714" t="s">
        <v>745</v>
      </c>
      <c r="B714" s="1">
        <v>43287</v>
      </c>
      <c r="C714" t="s">
        <v>12</v>
      </c>
      <c r="D714" t="s">
        <v>25</v>
      </c>
      <c r="E714">
        <v>10</v>
      </c>
      <c r="F714">
        <v>80</v>
      </c>
      <c r="G714">
        <v>800</v>
      </c>
      <c r="H714">
        <v>0.08</v>
      </c>
      <c r="I714">
        <v>64</v>
      </c>
      <c r="J714">
        <v>736</v>
      </c>
      <c r="K714" t="s">
        <v>33</v>
      </c>
    </row>
    <row r="715" spans="1:11" x14ac:dyDescent="0.3">
      <c r="A715" t="s">
        <v>746</v>
      </c>
      <c r="B715" s="1">
        <v>43287</v>
      </c>
      <c r="C715" t="s">
        <v>12</v>
      </c>
      <c r="D715" t="s">
        <v>28</v>
      </c>
      <c r="E715">
        <v>15</v>
      </c>
      <c r="F715">
        <v>80</v>
      </c>
      <c r="G715">
        <v>1200</v>
      </c>
      <c r="H715">
        <v>0.08</v>
      </c>
      <c r="I715">
        <v>96</v>
      </c>
      <c r="J715">
        <v>1104</v>
      </c>
      <c r="K715" t="s">
        <v>36</v>
      </c>
    </row>
    <row r="716" spans="1:11" x14ac:dyDescent="0.3">
      <c r="A716" t="s">
        <v>747</v>
      </c>
      <c r="B716" s="1">
        <v>43287</v>
      </c>
      <c r="C716" t="s">
        <v>20</v>
      </c>
      <c r="D716" t="s">
        <v>28</v>
      </c>
      <c r="E716">
        <v>18</v>
      </c>
      <c r="F716">
        <v>230</v>
      </c>
      <c r="G716">
        <v>4140</v>
      </c>
      <c r="H716">
        <v>0.01</v>
      </c>
      <c r="I716">
        <v>41.4</v>
      </c>
      <c r="J716">
        <v>4099</v>
      </c>
      <c r="K716" t="s">
        <v>38</v>
      </c>
    </row>
    <row r="717" spans="1:11" x14ac:dyDescent="0.3">
      <c r="A717" t="s">
        <v>748</v>
      </c>
      <c r="B717" s="1">
        <v>43287</v>
      </c>
      <c r="C717" t="s">
        <v>12</v>
      </c>
      <c r="D717" t="s">
        <v>13</v>
      </c>
      <c r="E717">
        <v>8</v>
      </c>
      <c r="F717">
        <v>80</v>
      </c>
      <c r="G717">
        <v>640</v>
      </c>
      <c r="H717">
        <v>0.09</v>
      </c>
      <c r="I717">
        <v>57.599999999999994</v>
      </c>
      <c r="J717">
        <v>582</v>
      </c>
      <c r="K717" t="s">
        <v>40</v>
      </c>
    </row>
    <row r="718" spans="1:11" x14ac:dyDescent="0.3">
      <c r="A718" t="s">
        <v>749</v>
      </c>
      <c r="B718" s="1">
        <v>43287</v>
      </c>
      <c r="C718" t="s">
        <v>31</v>
      </c>
      <c r="D718" t="s">
        <v>25</v>
      </c>
      <c r="E718">
        <v>6</v>
      </c>
      <c r="F718">
        <v>16</v>
      </c>
      <c r="G718">
        <v>96</v>
      </c>
      <c r="H718">
        <v>0.01</v>
      </c>
      <c r="I718">
        <v>0.96</v>
      </c>
      <c r="J718">
        <v>95</v>
      </c>
      <c r="K718" t="s">
        <v>33</v>
      </c>
    </row>
    <row r="719" spans="1:11" x14ac:dyDescent="0.3">
      <c r="A719" t="s">
        <v>750</v>
      </c>
      <c r="B719" s="1">
        <v>43287</v>
      </c>
      <c r="C719" t="s">
        <v>20</v>
      </c>
      <c r="D719" t="s">
        <v>17</v>
      </c>
      <c r="E719">
        <v>9</v>
      </c>
      <c r="F719">
        <v>230</v>
      </c>
      <c r="G719">
        <v>2070</v>
      </c>
      <c r="H719">
        <v>0.03</v>
      </c>
      <c r="I719">
        <v>62.099999999999994</v>
      </c>
      <c r="J719">
        <v>2008</v>
      </c>
      <c r="K719" t="s">
        <v>36</v>
      </c>
    </row>
    <row r="720" spans="1:11" x14ac:dyDescent="0.3">
      <c r="A720" t="s">
        <v>751</v>
      </c>
      <c r="B720" s="1">
        <v>43288</v>
      </c>
      <c r="C720" t="s">
        <v>16</v>
      </c>
      <c r="D720" t="s">
        <v>28</v>
      </c>
      <c r="E720">
        <v>15</v>
      </c>
      <c r="F720">
        <v>40</v>
      </c>
      <c r="G720">
        <v>600</v>
      </c>
      <c r="H720">
        <v>0.03</v>
      </c>
      <c r="I720">
        <v>18</v>
      </c>
      <c r="J720">
        <v>582</v>
      </c>
      <c r="K720" t="s">
        <v>38</v>
      </c>
    </row>
    <row r="721" spans="1:11" x14ac:dyDescent="0.3">
      <c r="A721" t="s">
        <v>752</v>
      </c>
      <c r="B721" s="1">
        <v>43288</v>
      </c>
      <c r="C721" t="s">
        <v>16</v>
      </c>
      <c r="D721" t="s">
        <v>17</v>
      </c>
      <c r="E721">
        <v>15</v>
      </c>
      <c r="F721">
        <v>40</v>
      </c>
      <c r="G721">
        <v>600</v>
      </c>
      <c r="H721">
        <v>0.04</v>
      </c>
      <c r="I721">
        <v>24</v>
      </c>
      <c r="J721">
        <v>576</v>
      </c>
      <c r="K721" t="s">
        <v>40</v>
      </c>
    </row>
    <row r="722" spans="1:11" x14ac:dyDescent="0.3">
      <c r="A722" t="s">
        <v>753</v>
      </c>
      <c r="B722" s="1">
        <v>43288</v>
      </c>
      <c r="C722" t="s">
        <v>31</v>
      </c>
      <c r="D722" t="s">
        <v>32</v>
      </c>
      <c r="E722">
        <v>11</v>
      </c>
      <c r="F722">
        <v>16</v>
      </c>
      <c r="G722">
        <v>176</v>
      </c>
      <c r="H722">
        <v>0.12</v>
      </c>
      <c r="I722">
        <v>21.119999999999997</v>
      </c>
      <c r="J722">
        <v>155</v>
      </c>
      <c r="K722" t="s">
        <v>33</v>
      </c>
    </row>
    <row r="723" spans="1:11" x14ac:dyDescent="0.3">
      <c r="A723" t="s">
        <v>754</v>
      </c>
      <c r="B723" s="1">
        <v>43288</v>
      </c>
      <c r="C723" t="s">
        <v>31</v>
      </c>
      <c r="D723" t="s">
        <v>13</v>
      </c>
      <c r="E723">
        <v>12</v>
      </c>
      <c r="F723">
        <v>16</v>
      </c>
      <c r="G723">
        <v>192</v>
      </c>
      <c r="H723">
        <v>0.11</v>
      </c>
      <c r="I723">
        <v>21.12</v>
      </c>
      <c r="J723">
        <v>171</v>
      </c>
      <c r="K723" t="s">
        <v>21</v>
      </c>
    </row>
    <row r="724" spans="1:11" x14ac:dyDescent="0.3">
      <c r="A724" t="s">
        <v>755</v>
      </c>
      <c r="B724" s="1">
        <v>43288</v>
      </c>
      <c r="C724" t="s">
        <v>31</v>
      </c>
      <c r="D724" t="s">
        <v>28</v>
      </c>
      <c r="E724">
        <v>18</v>
      </c>
      <c r="F724">
        <v>16</v>
      </c>
      <c r="G724">
        <v>288</v>
      </c>
      <c r="H724">
        <v>0.04</v>
      </c>
      <c r="I724">
        <v>11.52</v>
      </c>
      <c r="J724">
        <v>276</v>
      </c>
      <c r="K724" t="s">
        <v>38</v>
      </c>
    </row>
    <row r="725" spans="1:11" x14ac:dyDescent="0.3">
      <c r="A725" t="s">
        <v>756</v>
      </c>
      <c r="B725" s="1">
        <v>43288</v>
      </c>
      <c r="C725" t="s">
        <v>16</v>
      </c>
      <c r="D725" t="s">
        <v>25</v>
      </c>
      <c r="E725">
        <v>20</v>
      </c>
      <c r="F725">
        <v>40</v>
      </c>
      <c r="G725">
        <v>800</v>
      </c>
      <c r="H725">
        <v>0.01</v>
      </c>
      <c r="I725">
        <v>8</v>
      </c>
      <c r="J725">
        <v>792</v>
      </c>
      <c r="K725" t="s">
        <v>21</v>
      </c>
    </row>
    <row r="726" spans="1:11" x14ac:dyDescent="0.3">
      <c r="A726" t="s">
        <v>757</v>
      </c>
      <c r="B726" s="1">
        <v>43288</v>
      </c>
      <c r="C726" t="s">
        <v>35</v>
      </c>
      <c r="D726" t="s">
        <v>32</v>
      </c>
      <c r="E726">
        <v>7</v>
      </c>
      <c r="F726">
        <v>150</v>
      </c>
      <c r="G726">
        <v>1050</v>
      </c>
      <c r="H726">
        <v>0.03</v>
      </c>
      <c r="I726">
        <v>31.5</v>
      </c>
      <c r="J726">
        <v>1018</v>
      </c>
      <c r="K726" t="s">
        <v>38</v>
      </c>
    </row>
    <row r="727" spans="1:11" x14ac:dyDescent="0.3">
      <c r="A727" t="s">
        <v>758</v>
      </c>
      <c r="B727" s="1">
        <v>43288</v>
      </c>
      <c r="C727" t="s">
        <v>16</v>
      </c>
      <c r="D727" t="s">
        <v>28</v>
      </c>
      <c r="E727">
        <v>23</v>
      </c>
      <c r="F727">
        <v>40</v>
      </c>
      <c r="G727">
        <v>920</v>
      </c>
      <c r="H727">
        <v>0.06</v>
      </c>
      <c r="I727">
        <v>55.199999999999996</v>
      </c>
      <c r="J727">
        <v>865</v>
      </c>
      <c r="K727" t="s">
        <v>21</v>
      </c>
    </row>
    <row r="728" spans="1:11" x14ac:dyDescent="0.3">
      <c r="A728" t="s">
        <v>759</v>
      </c>
      <c r="B728" s="1">
        <v>43288</v>
      </c>
      <c r="C728" t="s">
        <v>12</v>
      </c>
      <c r="D728" t="s">
        <v>13</v>
      </c>
      <c r="E728">
        <v>7</v>
      </c>
      <c r="F728">
        <v>80</v>
      </c>
      <c r="G728">
        <v>560</v>
      </c>
      <c r="H728">
        <v>0.02</v>
      </c>
      <c r="I728">
        <v>11.200000000000001</v>
      </c>
      <c r="J728">
        <v>549</v>
      </c>
      <c r="K728" t="s">
        <v>38</v>
      </c>
    </row>
    <row r="729" spans="1:11" x14ac:dyDescent="0.3">
      <c r="A729" t="s">
        <v>760</v>
      </c>
      <c r="B729" s="1">
        <v>43288</v>
      </c>
      <c r="C729" t="s">
        <v>35</v>
      </c>
      <c r="D729" t="s">
        <v>17</v>
      </c>
      <c r="E729">
        <v>16</v>
      </c>
      <c r="F729">
        <v>150</v>
      </c>
      <c r="G729">
        <v>2400</v>
      </c>
      <c r="H729">
        <v>0.05</v>
      </c>
      <c r="I729">
        <v>120</v>
      </c>
      <c r="J729">
        <v>2280</v>
      </c>
      <c r="K729" t="s">
        <v>21</v>
      </c>
    </row>
    <row r="730" spans="1:11" x14ac:dyDescent="0.3">
      <c r="A730" t="s">
        <v>761</v>
      </c>
      <c r="B730" s="1">
        <v>43288</v>
      </c>
      <c r="C730" t="s">
        <v>20</v>
      </c>
      <c r="D730" t="s">
        <v>17</v>
      </c>
      <c r="E730">
        <v>6</v>
      </c>
      <c r="F730">
        <v>230</v>
      </c>
      <c r="G730">
        <v>1380</v>
      </c>
      <c r="H730">
        <v>0.1</v>
      </c>
      <c r="I730">
        <v>138</v>
      </c>
      <c r="J730">
        <v>1242</v>
      </c>
      <c r="K730" t="s">
        <v>38</v>
      </c>
    </row>
    <row r="731" spans="1:11" x14ac:dyDescent="0.3">
      <c r="A731" t="s">
        <v>762</v>
      </c>
      <c r="B731" s="1">
        <v>43289</v>
      </c>
      <c r="C731" t="s">
        <v>16</v>
      </c>
      <c r="D731" t="s">
        <v>32</v>
      </c>
      <c r="E731">
        <v>7</v>
      </c>
      <c r="F731">
        <v>40</v>
      </c>
      <c r="G731">
        <v>280</v>
      </c>
      <c r="H731">
        <v>0.12</v>
      </c>
      <c r="I731">
        <v>33.6</v>
      </c>
      <c r="J731">
        <v>246</v>
      </c>
      <c r="K731" t="s">
        <v>21</v>
      </c>
    </row>
    <row r="732" spans="1:11" x14ac:dyDescent="0.3">
      <c r="A732" t="s">
        <v>763</v>
      </c>
      <c r="B732" s="1">
        <v>43289</v>
      </c>
      <c r="C732" t="s">
        <v>12</v>
      </c>
      <c r="D732" t="s">
        <v>25</v>
      </c>
      <c r="E732">
        <v>23</v>
      </c>
      <c r="F732">
        <v>80</v>
      </c>
      <c r="G732">
        <v>1840</v>
      </c>
      <c r="H732">
        <v>0.05</v>
      </c>
      <c r="I732">
        <v>92</v>
      </c>
      <c r="J732">
        <v>1748</v>
      </c>
      <c r="K732" t="s">
        <v>38</v>
      </c>
    </row>
    <row r="733" spans="1:11" x14ac:dyDescent="0.3">
      <c r="A733" t="s">
        <v>764</v>
      </c>
      <c r="B733" s="1">
        <v>43289</v>
      </c>
      <c r="C733" t="s">
        <v>12</v>
      </c>
      <c r="D733" t="s">
        <v>28</v>
      </c>
      <c r="E733">
        <v>16</v>
      </c>
      <c r="F733">
        <v>80</v>
      </c>
      <c r="G733">
        <v>1280</v>
      </c>
      <c r="H733">
        <v>0.1</v>
      </c>
      <c r="I733">
        <v>128</v>
      </c>
      <c r="J733">
        <v>1152</v>
      </c>
      <c r="K733" t="s">
        <v>21</v>
      </c>
    </row>
    <row r="734" spans="1:11" x14ac:dyDescent="0.3">
      <c r="A734" t="s">
        <v>765</v>
      </c>
      <c r="B734" s="1">
        <v>43289</v>
      </c>
      <c r="C734" t="s">
        <v>12</v>
      </c>
      <c r="D734" t="s">
        <v>13</v>
      </c>
      <c r="E734">
        <v>16</v>
      </c>
      <c r="F734">
        <v>80</v>
      </c>
      <c r="G734">
        <v>1280</v>
      </c>
      <c r="H734">
        <v>0.03</v>
      </c>
      <c r="I734">
        <v>38.4</v>
      </c>
      <c r="J734">
        <v>1242</v>
      </c>
      <c r="K734" t="s">
        <v>38</v>
      </c>
    </row>
    <row r="735" spans="1:11" x14ac:dyDescent="0.3">
      <c r="A735" t="s">
        <v>766</v>
      </c>
      <c r="B735" s="1">
        <v>43289</v>
      </c>
      <c r="C735" t="s">
        <v>12</v>
      </c>
      <c r="D735" t="s">
        <v>32</v>
      </c>
      <c r="E735">
        <v>22</v>
      </c>
      <c r="F735">
        <v>80</v>
      </c>
      <c r="G735">
        <v>1760</v>
      </c>
      <c r="H735">
        <v>0.09</v>
      </c>
      <c r="I735">
        <v>158.4</v>
      </c>
      <c r="J735">
        <v>1602</v>
      </c>
      <c r="K735" t="s">
        <v>21</v>
      </c>
    </row>
    <row r="736" spans="1:11" x14ac:dyDescent="0.3">
      <c r="A736" t="s">
        <v>767</v>
      </c>
      <c r="B736" s="1">
        <v>43289</v>
      </c>
      <c r="C736" t="s">
        <v>31</v>
      </c>
      <c r="D736" t="s">
        <v>13</v>
      </c>
      <c r="E736">
        <v>18</v>
      </c>
      <c r="F736">
        <v>16</v>
      </c>
      <c r="G736">
        <v>288</v>
      </c>
      <c r="H736">
        <v>0.05</v>
      </c>
      <c r="I736">
        <v>14.4</v>
      </c>
      <c r="J736">
        <v>274</v>
      </c>
      <c r="K736" t="s">
        <v>38</v>
      </c>
    </row>
    <row r="737" spans="1:11" x14ac:dyDescent="0.3">
      <c r="A737" t="s">
        <v>768</v>
      </c>
      <c r="B737" s="1">
        <v>43289</v>
      </c>
      <c r="C737" t="s">
        <v>20</v>
      </c>
      <c r="D737" t="s">
        <v>32</v>
      </c>
      <c r="E737">
        <v>5</v>
      </c>
      <c r="F737">
        <v>230</v>
      </c>
      <c r="G737">
        <v>1150</v>
      </c>
      <c r="H737">
        <v>0.12</v>
      </c>
      <c r="I737">
        <v>138</v>
      </c>
      <c r="J737">
        <v>1012</v>
      </c>
      <c r="K737" t="s">
        <v>21</v>
      </c>
    </row>
    <row r="738" spans="1:11" x14ac:dyDescent="0.3">
      <c r="A738" t="s">
        <v>769</v>
      </c>
      <c r="B738" s="1">
        <v>43289</v>
      </c>
      <c r="C738" t="s">
        <v>35</v>
      </c>
      <c r="D738" t="s">
        <v>32</v>
      </c>
      <c r="E738">
        <v>7</v>
      </c>
      <c r="F738">
        <v>150</v>
      </c>
      <c r="G738">
        <v>1050</v>
      </c>
      <c r="H738">
        <v>0.02</v>
      </c>
      <c r="I738">
        <v>21</v>
      </c>
      <c r="J738">
        <v>1029</v>
      </c>
      <c r="K738" t="s">
        <v>38</v>
      </c>
    </row>
    <row r="739" spans="1:11" x14ac:dyDescent="0.3">
      <c r="A739" t="s">
        <v>770</v>
      </c>
      <c r="B739" s="1">
        <v>43289</v>
      </c>
      <c r="C739" t="s">
        <v>16</v>
      </c>
      <c r="D739" t="s">
        <v>25</v>
      </c>
      <c r="E739">
        <v>2</v>
      </c>
      <c r="F739">
        <v>40</v>
      </c>
      <c r="G739">
        <v>80</v>
      </c>
      <c r="H739">
        <v>0.03</v>
      </c>
      <c r="I739">
        <v>2.4</v>
      </c>
      <c r="J739">
        <v>78</v>
      </c>
      <c r="K739" t="s">
        <v>21</v>
      </c>
    </row>
    <row r="740" spans="1:11" x14ac:dyDescent="0.3">
      <c r="A740" t="s">
        <v>771</v>
      </c>
      <c r="B740" s="1">
        <v>43289</v>
      </c>
      <c r="C740" t="s">
        <v>16</v>
      </c>
      <c r="D740" t="s">
        <v>28</v>
      </c>
      <c r="E740">
        <v>11</v>
      </c>
      <c r="F740">
        <v>40</v>
      </c>
      <c r="G740">
        <v>440</v>
      </c>
      <c r="H740">
        <v>0.06</v>
      </c>
      <c r="I740">
        <v>26.4</v>
      </c>
      <c r="J740">
        <v>414</v>
      </c>
      <c r="K740" t="s">
        <v>38</v>
      </c>
    </row>
    <row r="741" spans="1:11" x14ac:dyDescent="0.3">
      <c r="A741" t="s">
        <v>772</v>
      </c>
      <c r="B741" s="1">
        <v>43289</v>
      </c>
      <c r="C741" t="s">
        <v>12</v>
      </c>
      <c r="D741" t="s">
        <v>28</v>
      </c>
      <c r="E741">
        <v>7</v>
      </c>
      <c r="F741">
        <v>80</v>
      </c>
      <c r="G741">
        <v>560</v>
      </c>
      <c r="H741">
        <v>0.02</v>
      </c>
      <c r="I741">
        <v>11.200000000000001</v>
      </c>
      <c r="J741">
        <v>549</v>
      </c>
      <c r="K741" t="s">
        <v>21</v>
      </c>
    </row>
    <row r="742" spans="1:11" x14ac:dyDescent="0.3">
      <c r="A742" t="s">
        <v>773</v>
      </c>
      <c r="B742" s="1">
        <v>43290</v>
      </c>
      <c r="C742" t="s">
        <v>16</v>
      </c>
      <c r="D742" t="s">
        <v>25</v>
      </c>
      <c r="E742">
        <v>4</v>
      </c>
      <c r="F742">
        <v>40</v>
      </c>
      <c r="G742">
        <v>160</v>
      </c>
      <c r="H742">
        <v>0.11</v>
      </c>
      <c r="I742">
        <v>17.600000000000001</v>
      </c>
      <c r="J742">
        <v>142</v>
      </c>
      <c r="K742" t="s">
        <v>38</v>
      </c>
    </row>
    <row r="743" spans="1:11" x14ac:dyDescent="0.3">
      <c r="A743" t="s">
        <v>774</v>
      </c>
      <c r="B743" s="1">
        <v>43290</v>
      </c>
      <c r="C743" t="s">
        <v>16</v>
      </c>
      <c r="D743" t="s">
        <v>25</v>
      </c>
      <c r="E743">
        <v>2</v>
      </c>
      <c r="F743">
        <v>40</v>
      </c>
      <c r="G743">
        <v>80</v>
      </c>
      <c r="H743">
        <v>0.02</v>
      </c>
      <c r="I743">
        <v>1.6</v>
      </c>
      <c r="J743">
        <v>78</v>
      </c>
      <c r="K743" t="s">
        <v>21</v>
      </c>
    </row>
    <row r="744" spans="1:11" x14ac:dyDescent="0.3">
      <c r="A744" t="s">
        <v>775</v>
      </c>
      <c r="B744" s="1">
        <v>43290</v>
      </c>
      <c r="C744" t="s">
        <v>20</v>
      </c>
      <c r="D744" t="s">
        <v>28</v>
      </c>
      <c r="E744">
        <v>23</v>
      </c>
      <c r="F744">
        <v>230</v>
      </c>
      <c r="G744">
        <v>5290</v>
      </c>
      <c r="H744">
        <v>0.06</v>
      </c>
      <c r="I744">
        <v>317.39999999999998</v>
      </c>
      <c r="J744">
        <v>4973</v>
      </c>
      <c r="K744" t="s">
        <v>38</v>
      </c>
    </row>
    <row r="745" spans="1:11" x14ac:dyDescent="0.3">
      <c r="A745" t="s">
        <v>776</v>
      </c>
      <c r="B745" s="1">
        <v>43290</v>
      </c>
      <c r="C745" t="s">
        <v>12</v>
      </c>
      <c r="D745" t="s">
        <v>32</v>
      </c>
      <c r="E745">
        <v>21</v>
      </c>
      <c r="F745">
        <v>80</v>
      </c>
      <c r="G745">
        <v>1680</v>
      </c>
      <c r="H745">
        <v>0.09</v>
      </c>
      <c r="I745">
        <v>151.19999999999999</v>
      </c>
      <c r="J745">
        <v>1529</v>
      </c>
      <c r="K745" t="s">
        <v>21</v>
      </c>
    </row>
    <row r="746" spans="1:11" x14ac:dyDescent="0.3">
      <c r="A746" t="s">
        <v>777</v>
      </c>
      <c r="B746" s="1">
        <v>43290</v>
      </c>
      <c r="C746" t="s">
        <v>12</v>
      </c>
      <c r="D746" t="s">
        <v>32</v>
      </c>
      <c r="E746">
        <v>9</v>
      </c>
      <c r="F746">
        <v>80</v>
      </c>
      <c r="G746">
        <v>720</v>
      </c>
      <c r="H746">
        <v>0.06</v>
      </c>
      <c r="I746">
        <v>43.199999999999996</v>
      </c>
      <c r="J746">
        <v>677</v>
      </c>
      <c r="K746" t="s">
        <v>38</v>
      </c>
    </row>
    <row r="747" spans="1:11" x14ac:dyDescent="0.3">
      <c r="A747" t="s">
        <v>778</v>
      </c>
      <c r="B747" s="1">
        <v>43290</v>
      </c>
      <c r="C747" t="s">
        <v>12</v>
      </c>
      <c r="D747" t="s">
        <v>32</v>
      </c>
      <c r="E747">
        <v>22</v>
      </c>
      <c r="F747">
        <v>80</v>
      </c>
      <c r="G747">
        <v>1760</v>
      </c>
      <c r="H747">
        <v>0.11</v>
      </c>
      <c r="I747">
        <v>193.6</v>
      </c>
      <c r="J747">
        <v>1566</v>
      </c>
      <c r="K747" t="s">
        <v>21</v>
      </c>
    </row>
    <row r="748" spans="1:11" x14ac:dyDescent="0.3">
      <c r="A748" t="s">
        <v>779</v>
      </c>
      <c r="B748" s="1">
        <v>43291</v>
      </c>
      <c r="C748" t="s">
        <v>20</v>
      </c>
      <c r="D748" t="s">
        <v>25</v>
      </c>
      <c r="E748">
        <v>15</v>
      </c>
      <c r="F748">
        <v>230</v>
      </c>
      <c r="G748">
        <v>3450</v>
      </c>
      <c r="H748">
        <v>0.11</v>
      </c>
      <c r="I748">
        <v>379.5</v>
      </c>
      <c r="J748">
        <v>3070</v>
      </c>
      <c r="K748" t="s">
        <v>38</v>
      </c>
    </row>
    <row r="749" spans="1:11" x14ac:dyDescent="0.3">
      <c r="A749" t="s">
        <v>780</v>
      </c>
      <c r="B749" s="1">
        <v>43291</v>
      </c>
      <c r="C749" t="s">
        <v>16</v>
      </c>
      <c r="D749" t="s">
        <v>17</v>
      </c>
      <c r="E749">
        <v>7</v>
      </c>
      <c r="F749">
        <v>40</v>
      </c>
      <c r="G749">
        <v>280</v>
      </c>
      <c r="H749">
        <v>0.01</v>
      </c>
      <c r="I749">
        <v>2.8000000000000003</v>
      </c>
      <c r="J749">
        <v>277</v>
      </c>
      <c r="K749" t="s">
        <v>21</v>
      </c>
    </row>
    <row r="750" spans="1:11" x14ac:dyDescent="0.3">
      <c r="A750" t="s">
        <v>781</v>
      </c>
      <c r="B750" s="1">
        <v>43291</v>
      </c>
      <c r="C750" t="s">
        <v>35</v>
      </c>
      <c r="D750" t="s">
        <v>32</v>
      </c>
      <c r="E750">
        <v>17</v>
      </c>
      <c r="F750">
        <v>150</v>
      </c>
      <c r="G750">
        <v>2550</v>
      </c>
      <c r="H750">
        <v>0.02</v>
      </c>
      <c r="I750">
        <v>51</v>
      </c>
      <c r="J750">
        <v>2499</v>
      </c>
      <c r="K750" t="s">
        <v>38</v>
      </c>
    </row>
    <row r="751" spans="1:11" x14ac:dyDescent="0.3">
      <c r="A751" t="s">
        <v>782</v>
      </c>
      <c r="B751" s="1">
        <v>43291</v>
      </c>
      <c r="C751" t="s">
        <v>35</v>
      </c>
      <c r="D751" t="s">
        <v>17</v>
      </c>
      <c r="E751">
        <v>22</v>
      </c>
      <c r="F751">
        <v>150</v>
      </c>
      <c r="G751">
        <v>3300</v>
      </c>
      <c r="H751">
        <v>0.02</v>
      </c>
      <c r="I751">
        <v>66</v>
      </c>
      <c r="J751">
        <v>3234</v>
      </c>
      <c r="K751" t="s">
        <v>21</v>
      </c>
    </row>
    <row r="752" spans="1:11" x14ac:dyDescent="0.3">
      <c r="A752" t="s">
        <v>783</v>
      </c>
      <c r="B752" s="1">
        <v>43291</v>
      </c>
      <c r="C752" t="s">
        <v>20</v>
      </c>
      <c r="D752" t="s">
        <v>25</v>
      </c>
      <c r="E752">
        <v>10</v>
      </c>
      <c r="F752">
        <v>230</v>
      </c>
      <c r="G752">
        <v>2300</v>
      </c>
      <c r="H752">
        <v>0.02</v>
      </c>
      <c r="I752">
        <v>46</v>
      </c>
      <c r="J752">
        <v>2254</v>
      </c>
      <c r="K752" t="s">
        <v>38</v>
      </c>
    </row>
    <row r="753" spans="1:11" x14ac:dyDescent="0.3">
      <c r="A753" t="s">
        <v>784</v>
      </c>
      <c r="B753" s="1">
        <v>43291</v>
      </c>
      <c r="C753" t="s">
        <v>16</v>
      </c>
      <c r="D753" t="s">
        <v>32</v>
      </c>
      <c r="E753">
        <v>21</v>
      </c>
      <c r="F753">
        <v>40</v>
      </c>
      <c r="G753">
        <v>840</v>
      </c>
      <c r="H753">
        <v>0.01</v>
      </c>
      <c r="I753">
        <v>8.4</v>
      </c>
      <c r="J753">
        <v>832</v>
      </c>
      <c r="K753" t="s">
        <v>21</v>
      </c>
    </row>
    <row r="754" spans="1:11" x14ac:dyDescent="0.3">
      <c r="A754" t="s">
        <v>785</v>
      </c>
      <c r="B754" s="1">
        <v>43291</v>
      </c>
      <c r="C754" t="s">
        <v>20</v>
      </c>
      <c r="D754" t="s">
        <v>25</v>
      </c>
      <c r="E754">
        <v>5</v>
      </c>
      <c r="F754">
        <v>230</v>
      </c>
      <c r="G754">
        <v>1150</v>
      </c>
      <c r="H754">
        <v>0.1</v>
      </c>
      <c r="I754">
        <v>115</v>
      </c>
      <c r="J754">
        <v>1035</v>
      </c>
      <c r="K754" t="s">
        <v>38</v>
      </c>
    </row>
    <row r="755" spans="1:11" x14ac:dyDescent="0.3">
      <c r="A755" t="s">
        <v>786</v>
      </c>
      <c r="B755" s="1">
        <v>43291</v>
      </c>
      <c r="C755" t="s">
        <v>20</v>
      </c>
      <c r="D755" t="s">
        <v>32</v>
      </c>
      <c r="E755">
        <v>13</v>
      </c>
      <c r="F755">
        <v>230</v>
      </c>
      <c r="G755">
        <v>2990</v>
      </c>
      <c r="H755">
        <v>0.06</v>
      </c>
      <c r="I755">
        <v>179.4</v>
      </c>
      <c r="J755">
        <v>2811</v>
      </c>
      <c r="K755" t="s">
        <v>21</v>
      </c>
    </row>
    <row r="756" spans="1:11" x14ac:dyDescent="0.3">
      <c r="A756" t="s">
        <v>787</v>
      </c>
      <c r="B756" s="1">
        <v>43291</v>
      </c>
      <c r="C756" t="s">
        <v>35</v>
      </c>
      <c r="D756" t="s">
        <v>13</v>
      </c>
      <c r="E756">
        <v>23</v>
      </c>
      <c r="F756">
        <v>150</v>
      </c>
      <c r="G756">
        <v>3450</v>
      </c>
      <c r="H756">
        <v>0.1</v>
      </c>
      <c r="I756">
        <v>345</v>
      </c>
      <c r="J756">
        <v>3105</v>
      </c>
      <c r="K756" t="s">
        <v>38</v>
      </c>
    </row>
    <row r="757" spans="1:11" x14ac:dyDescent="0.3">
      <c r="A757" t="s">
        <v>788</v>
      </c>
      <c r="B757" s="1">
        <v>43291</v>
      </c>
      <c r="C757" t="s">
        <v>35</v>
      </c>
      <c r="D757" t="s">
        <v>13</v>
      </c>
      <c r="E757">
        <v>20</v>
      </c>
      <c r="F757">
        <v>150</v>
      </c>
      <c r="G757">
        <v>3000</v>
      </c>
      <c r="H757">
        <v>0.03</v>
      </c>
      <c r="I757">
        <v>90</v>
      </c>
      <c r="J757">
        <v>2910</v>
      </c>
      <c r="K757" t="s">
        <v>21</v>
      </c>
    </row>
    <row r="758" spans="1:11" x14ac:dyDescent="0.3">
      <c r="A758" t="s">
        <v>789</v>
      </c>
      <c r="B758" s="1">
        <v>43292</v>
      </c>
      <c r="C758" t="s">
        <v>20</v>
      </c>
      <c r="D758" t="s">
        <v>13</v>
      </c>
      <c r="E758">
        <v>3</v>
      </c>
      <c r="F758">
        <v>230</v>
      </c>
      <c r="G758">
        <v>690</v>
      </c>
      <c r="H758">
        <v>0.11</v>
      </c>
      <c r="I758">
        <v>75.900000000000006</v>
      </c>
      <c r="J758">
        <v>614</v>
      </c>
      <c r="K758" t="s">
        <v>38</v>
      </c>
    </row>
    <row r="759" spans="1:11" x14ac:dyDescent="0.3">
      <c r="A759" t="s">
        <v>790</v>
      </c>
      <c r="B759" s="1">
        <v>43292</v>
      </c>
      <c r="C759" t="s">
        <v>35</v>
      </c>
      <c r="D759" t="s">
        <v>17</v>
      </c>
      <c r="E759">
        <v>16</v>
      </c>
      <c r="F759">
        <v>150</v>
      </c>
      <c r="G759">
        <v>2400</v>
      </c>
      <c r="H759">
        <v>0.08</v>
      </c>
      <c r="I759">
        <v>192</v>
      </c>
      <c r="J759">
        <v>2208</v>
      </c>
      <c r="K759" t="s">
        <v>21</v>
      </c>
    </row>
    <row r="760" spans="1:11" x14ac:dyDescent="0.3">
      <c r="A760" t="s">
        <v>791</v>
      </c>
      <c r="B760" s="1">
        <v>43292</v>
      </c>
      <c r="C760" t="s">
        <v>31</v>
      </c>
      <c r="D760" t="s">
        <v>32</v>
      </c>
      <c r="E760">
        <v>14</v>
      </c>
      <c r="F760">
        <v>16</v>
      </c>
      <c r="G760">
        <v>224</v>
      </c>
      <c r="H760">
        <v>0.06</v>
      </c>
      <c r="I760">
        <v>13.44</v>
      </c>
      <c r="J760">
        <v>211</v>
      </c>
      <c r="K760" t="s">
        <v>38</v>
      </c>
    </row>
    <row r="761" spans="1:11" x14ac:dyDescent="0.3">
      <c r="A761" t="s">
        <v>792</v>
      </c>
      <c r="B761" s="1">
        <v>43292</v>
      </c>
      <c r="C761" t="s">
        <v>35</v>
      </c>
      <c r="D761" t="s">
        <v>17</v>
      </c>
      <c r="E761">
        <v>16</v>
      </c>
      <c r="F761">
        <v>150</v>
      </c>
      <c r="G761">
        <v>2400</v>
      </c>
      <c r="H761">
        <v>0.03</v>
      </c>
      <c r="I761">
        <v>72</v>
      </c>
      <c r="J761">
        <v>2328</v>
      </c>
      <c r="K761" t="s">
        <v>21</v>
      </c>
    </row>
    <row r="762" spans="1:11" x14ac:dyDescent="0.3">
      <c r="A762" t="s">
        <v>793</v>
      </c>
      <c r="B762" s="1">
        <v>43292</v>
      </c>
      <c r="C762" t="s">
        <v>31</v>
      </c>
      <c r="D762" t="s">
        <v>32</v>
      </c>
      <c r="E762">
        <v>19</v>
      </c>
      <c r="F762">
        <v>16</v>
      </c>
      <c r="G762">
        <v>304</v>
      </c>
      <c r="H762">
        <v>0.02</v>
      </c>
      <c r="I762">
        <v>6.08</v>
      </c>
      <c r="J762">
        <v>298</v>
      </c>
      <c r="K762" t="s">
        <v>38</v>
      </c>
    </row>
    <row r="763" spans="1:11" x14ac:dyDescent="0.3">
      <c r="A763" t="s">
        <v>794</v>
      </c>
      <c r="B763" s="1">
        <v>43292</v>
      </c>
      <c r="C763" t="s">
        <v>12</v>
      </c>
      <c r="D763" t="s">
        <v>32</v>
      </c>
      <c r="E763">
        <v>6</v>
      </c>
      <c r="F763">
        <v>80</v>
      </c>
      <c r="G763">
        <v>480</v>
      </c>
      <c r="H763">
        <v>0.09</v>
      </c>
      <c r="I763">
        <v>43.199999999999996</v>
      </c>
      <c r="J763">
        <v>437</v>
      </c>
      <c r="K763" t="s">
        <v>21</v>
      </c>
    </row>
    <row r="764" spans="1:11" x14ac:dyDescent="0.3">
      <c r="A764" t="s">
        <v>795</v>
      </c>
      <c r="B764" s="1">
        <v>43292</v>
      </c>
      <c r="C764" t="s">
        <v>12</v>
      </c>
      <c r="D764" t="s">
        <v>32</v>
      </c>
      <c r="E764">
        <v>9</v>
      </c>
      <c r="F764">
        <v>80</v>
      </c>
      <c r="G764">
        <v>720</v>
      </c>
      <c r="H764">
        <v>7.0000000000000007E-2</v>
      </c>
      <c r="I764">
        <v>50.400000000000006</v>
      </c>
      <c r="J764">
        <v>670</v>
      </c>
      <c r="K764" t="s">
        <v>38</v>
      </c>
    </row>
    <row r="765" spans="1:11" x14ac:dyDescent="0.3">
      <c r="A765" t="s">
        <v>796</v>
      </c>
      <c r="B765" s="1">
        <v>43292</v>
      </c>
      <c r="C765" t="s">
        <v>35</v>
      </c>
      <c r="D765" t="s">
        <v>17</v>
      </c>
      <c r="E765">
        <v>20</v>
      </c>
      <c r="F765">
        <v>150</v>
      </c>
      <c r="G765">
        <v>3000</v>
      </c>
      <c r="H765">
        <v>0.09</v>
      </c>
      <c r="I765">
        <v>270</v>
      </c>
      <c r="J765">
        <v>2730</v>
      </c>
      <c r="K765" t="s">
        <v>21</v>
      </c>
    </row>
    <row r="766" spans="1:11" x14ac:dyDescent="0.3">
      <c r="A766" t="s">
        <v>797</v>
      </c>
      <c r="B766" s="1">
        <v>43292</v>
      </c>
      <c r="C766" t="s">
        <v>12</v>
      </c>
      <c r="D766" t="s">
        <v>25</v>
      </c>
      <c r="E766">
        <v>10</v>
      </c>
      <c r="F766">
        <v>80</v>
      </c>
      <c r="G766">
        <v>800</v>
      </c>
      <c r="H766">
        <v>0.11</v>
      </c>
      <c r="I766">
        <v>88</v>
      </c>
      <c r="J766">
        <v>712</v>
      </c>
      <c r="K766" t="s">
        <v>38</v>
      </c>
    </row>
    <row r="767" spans="1:11" x14ac:dyDescent="0.3">
      <c r="A767" t="s">
        <v>798</v>
      </c>
      <c r="B767" s="1">
        <v>43292</v>
      </c>
      <c r="C767" t="s">
        <v>31</v>
      </c>
      <c r="D767" t="s">
        <v>13</v>
      </c>
      <c r="E767">
        <v>4</v>
      </c>
      <c r="F767">
        <v>16</v>
      </c>
      <c r="G767">
        <v>64</v>
      </c>
      <c r="H767">
        <v>0.12</v>
      </c>
      <c r="I767">
        <v>7.68</v>
      </c>
      <c r="J767">
        <v>56</v>
      </c>
      <c r="K767" t="s">
        <v>21</v>
      </c>
    </row>
    <row r="768" spans="1:11" x14ac:dyDescent="0.3">
      <c r="A768" t="s">
        <v>799</v>
      </c>
      <c r="B768" s="1">
        <v>43292</v>
      </c>
      <c r="C768" t="s">
        <v>16</v>
      </c>
      <c r="D768" t="s">
        <v>32</v>
      </c>
      <c r="E768">
        <v>16</v>
      </c>
      <c r="F768">
        <v>40</v>
      </c>
      <c r="G768">
        <v>640</v>
      </c>
      <c r="H768">
        <v>0.11</v>
      </c>
      <c r="I768">
        <v>70.400000000000006</v>
      </c>
      <c r="J768">
        <v>570</v>
      </c>
      <c r="K768" t="s">
        <v>38</v>
      </c>
    </row>
    <row r="769" spans="1:11" x14ac:dyDescent="0.3">
      <c r="A769" t="s">
        <v>800</v>
      </c>
      <c r="B769" s="1">
        <v>43293</v>
      </c>
      <c r="C769" t="s">
        <v>12</v>
      </c>
      <c r="D769" t="s">
        <v>17</v>
      </c>
      <c r="E769">
        <v>5</v>
      </c>
      <c r="F769">
        <v>80</v>
      </c>
      <c r="G769">
        <v>400</v>
      </c>
      <c r="H769">
        <v>0.04</v>
      </c>
      <c r="I769">
        <v>16</v>
      </c>
      <c r="J769">
        <v>384</v>
      </c>
      <c r="K769" t="s">
        <v>21</v>
      </c>
    </row>
    <row r="770" spans="1:11" x14ac:dyDescent="0.3">
      <c r="A770" t="s">
        <v>801</v>
      </c>
      <c r="B770" s="1">
        <v>43293</v>
      </c>
      <c r="C770" t="s">
        <v>31</v>
      </c>
      <c r="D770" t="s">
        <v>25</v>
      </c>
      <c r="E770">
        <v>11</v>
      </c>
      <c r="F770">
        <v>16</v>
      </c>
      <c r="G770">
        <v>176</v>
      </c>
      <c r="H770">
        <v>0.04</v>
      </c>
      <c r="I770">
        <v>7.04</v>
      </c>
      <c r="J770">
        <v>169</v>
      </c>
      <c r="K770" t="s">
        <v>38</v>
      </c>
    </row>
    <row r="771" spans="1:11" x14ac:dyDescent="0.3">
      <c r="A771" t="s">
        <v>802</v>
      </c>
      <c r="B771" s="1">
        <v>43293</v>
      </c>
      <c r="C771" t="s">
        <v>35</v>
      </c>
      <c r="D771" t="s">
        <v>13</v>
      </c>
      <c r="E771">
        <v>17</v>
      </c>
      <c r="F771">
        <v>150</v>
      </c>
      <c r="G771">
        <v>2550</v>
      </c>
      <c r="H771">
        <v>0.12</v>
      </c>
      <c r="I771">
        <v>306</v>
      </c>
      <c r="J771">
        <v>2244</v>
      </c>
      <c r="K771" t="s">
        <v>21</v>
      </c>
    </row>
    <row r="772" spans="1:11" x14ac:dyDescent="0.3">
      <c r="A772" t="s">
        <v>803</v>
      </c>
      <c r="B772" s="1">
        <v>43293</v>
      </c>
      <c r="C772" t="s">
        <v>20</v>
      </c>
      <c r="D772" t="s">
        <v>17</v>
      </c>
      <c r="E772">
        <v>19</v>
      </c>
      <c r="F772">
        <v>230</v>
      </c>
      <c r="G772">
        <v>4370</v>
      </c>
      <c r="H772">
        <v>0.11</v>
      </c>
      <c r="I772">
        <v>480.7</v>
      </c>
      <c r="J772">
        <v>3889</v>
      </c>
      <c r="K772" t="s">
        <v>38</v>
      </c>
    </row>
    <row r="773" spans="1:11" x14ac:dyDescent="0.3">
      <c r="A773" t="s">
        <v>804</v>
      </c>
      <c r="B773" s="1">
        <v>43293</v>
      </c>
      <c r="C773" t="s">
        <v>12</v>
      </c>
      <c r="D773" t="s">
        <v>13</v>
      </c>
      <c r="E773">
        <v>21</v>
      </c>
      <c r="F773">
        <v>80</v>
      </c>
      <c r="G773">
        <v>1680</v>
      </c>
      <c r="H773">
        <v>0.04</v>
      </c>
      <c r="I773">
        <v>67.2</v>
      </c>
      <c r="J773">
        <v>1613</v>
      </c>
      <c r="K773" t="s">
        <v>21</v>
      </c>
    </row>
    <row r="774" spans="1:11" x14ac:dyDescent="0.3">
      <c r="A774" t="s">
        <v>805</v>
      </c>
      <c r="B774" s="1">
        <v>43293</v>
      </c>
      <c r="C774" t="s">
        <v>20</v>
      </c>
      <c r="D774" t="s">
        <v>17</v>
      </c>
      <c r="E774">
        <v>7</v>
      </c>
      <c r="F774">
        <v>230</v>
      </c>
      <c r="G774">
        <v>1610</v>
      </c>
      <c r="H774">
        <v>0.01</v>
      </c>
      <c r="I774">
        <v>16.100000000000001</v>
      </c>
      <c r="J774">
        <v>1594</v>
      </c>
      <c r="K774" t="s">
        <v>38</v>
      </c>
    </row>
    <row r="775" spans="1:11" x14ac:dyDescent="0.3">
      <c r="A775" t="s">
        <v>806</v>
      </c>
      <c r="B775" s="1">
        <v>43293</v>
      </c>
      <c r="C775" t="s">
        <v>16</v>
      </c>
      <c r="D775" t="s">
        <v>25</v>
      </c>
      <c r="E775">
        <v>2</v>
      </c>
      <c r="F775">
        <v>40</v>
      </c>
      <c r="G775">
        <v>80</v>
      </c>
      <c r="H775">
        <v>0.03</v>
      </c>
      <c r="I775">
        <v>2.4</v>
      </c>
      <c r="J775">
        <v>78</v>
      </c>
      <c r="K775" t="s">
        <v>21</v>
      </c>
    </row>
    <row r="776" spans="1:11" x14ac:dyDescent="0.3">
      <c r="A776" t="s">
        <v>807</v>
      </c>
      <c r="B776" s="1">
        <v>43293</v>
      </c>
      <c r="C776" t="s">
        <v>35</v>
      </c>
      <c r="D776" t="s">
        <v>13</v>
      </c>
      <c r="E776">
        <v>7</v>
      </c>
      <c r="F776">
        <v>150</v>
      </c>
      <c r="G776">
        <v>1050</v>
      </c>
      <c r="H776">
        <v>0.02</v>
      </c>
      <c r="I776">
        <v>21</v>
      </c>
      <c r="J776">
        <v>1029</v>
      </c>
      <c r="K776" t="s">
        <v>38</v>
      </c>
    </row>
    <row r="777" spans="1:11" x14ac:dyDescent="0.3">
      <c r="A777" t="s">
        <v>808</v>
      </c>
      <c r="B777" s="1">
        <v>43294</v>
      </c>
      <c r="C777" t="s">
        <v>12</v>
      </c>
      <c r="D777" t="s">
        <v>25</v>
      </c>
      <c r="E777">
        <v>16</v>
      </c>
      <c r="F777">
        <v>80</v>
      </c>
      <c r="G777">
        <v>1280</v>
      </c>
      <c r="H777">
        <v>0.04</v>
      </c>
      <c r="I777">
        <v>51.2</v>
      </c>
      <c r="J777">
        <v>1229</v>
      </c>
      <c r="K777" t="s">
        <v>21</v>
      </c>
    </row>
    <row r="778" spans="1:11" x14ac:dyDescent="0.3">
      <c r="A778" t="s">
        <v>809</v>
      </c>
      <c r="B778" s="1">
        <v>43294</v>
      </c>
      <c r="C778" t="s">
        <v>16</v>
      </c>
      <c r="D778" t="s">
        <v>17</v>
      </c>
      <c r="E778">
        <v>4</v>
      </c>
      <c r="F778">
        <v>40</v>
      </c>
      <c r="G778">
        <v>160</v>
      </c>
      <c r="H778">
        <v>0.12</v>
      </c>
      <c r="I778">
        <v>19.2</v>
      </c>
      <c r="J778">
        <v>141</v>
      </c>
      <c r="K778" t="s">
        <v>38</v>
      </c>
    </row>
    <row r="779" spans="1:11" x14ac:dyDescent="0.3">
      <c r="A779" t="s">
        <v>810</v>
      </c>
      <c r="B779" s="1">
        <v>43294</v>
      </c>
      <c r="C779" t="s">
        <v>31</v>
      </c>
      <c r="D779" t="s">
        <v>13</v>
      </c>
      <c r="E779">
        <v>22</v>
      </c>
      <c r="F779">
        <v>16</v>
      </c>
      <c r="G779">
        <v>352</v>
      </c>
      <c r="H779">
        <v>0.01</v>
      </c>
      <c r="I779">
        <v>3.52</v>
      </c>
      <c r="J779">
        <v>348</v>
      </c>
      <c r="K779" t="s">
        <v>21</v>
      </c>
    </row>
    <row r="780" spans="1:11" x14ac:dyDescent="0.3">
      <c r="A780" t="s">
        <v>811</v>
      </c>
      <c r="B780" s="1">
        <v>43294</v>
      </c>
      <c r="C780" t="s">
        <v>16</v>
      </c>
      <c r="D780" t="s">
        <v>28</v>
      </c>
      <c r="E780">
        <v>18</v>
      </c>
      <c r="F780">
        <v>40</v>
      </c>
      <c r="G780">
        <v>720</v>
      </c>
      <c r="H780">
        <v>0.06</v>
      </c>
      <c r="I780">
        <v>43.199999999999996</v>
      </c>
      <c r="J780">
        <v>677</v>
      </c>
      <c r="K780" t="s">
        <v>38</v>
      </c>
    </row>
    <row r="781" spans="1:11" x14ac:dyDescent="0.3">
      <c r="A781" t="s">
        <v>812</v>
      </c>
      <c r="B781" s="1">
        <v>43294</v>
      </c>
      <c r="C781" t="s">
        <v>12</v>
      </c>
      <c r="D781" t="s">
        <v>25</v>
      </c>
      <c r="E781">
        <v>6</v>
      </c>
      <c r="F781">
        <v>80</v>
      </c>
      <c r="G781">
        <v>480</v>
      </c>
      <c r="H781">
        <v>0.01</v>
      </c>
      <c r="I781">
        <v>4.8</v>
      </c>
      <c r="J781">
        <v>475</v>
      </c>
      <c r="K781" t="s">
        <v>21</v>
      </c>
    </row>
    <row r="782" spans="1:11" x14ac:dyDescent="0.3">
      <c r="A782" t="s">
        <v>813</v>
      </c>
      <c r="B782" s="1">
        <v>43294</v>
      </c>
      <c r="C782" t="s">
        <v>20</v>
      </c>
      <c r="D782" t="s">
        <v>25</v>
      </c>
      <c r="E782">
        <v>2</v>
      </c>
      <c r="F782">
        <v>230</v>
      </c>
      <c r="G782">
        <v>460</v>
      </c>
      <c r="H782">
        <v>0.09</v>
      </c>
      <c r="I782">
        <v>41.4</v>
      </c>
      <c r="J782">
        <v>419</v>
      </c>
      <c r="K782" t="s">
        <v>38</v>
      </c>
    </row>
    <row r="783" spans="1:11" x14ac:dyDescent="0.3">
      <c r="A783" t="s">
        <v>814</v>
      </c>
      <c r="B783" s="1">
        <v>43295</v>
      </c>
      <c r="C783" t="s">
        <v>35</v>
      </c>
      <c r="D783" t="s">
        <v>32</v>
      </c>
      <c r="E783">
        <v>11</v>
      </c>
      <c r="F783">
        <v>150</v>
      </c>
      <c r="G783">
        <v>1650</v>
      </c>
      <c r="H783">
        <v>0.09</v>
      </c>
      <c r="I783">
        <v>148.5</v>
      </c>
      <c r="J783">
        <v>1502</v>
      </c>
      <c r="K783" t="s">
        <v>21</v>
      </c>
    </row>
    <row r="784" spans="1:11" x14ac:dyDescent="0.3">
      <c r="A784" t="s">
        <v>815</v>
      </c>
      <c r="B784" s="1">
        <v>43295</v>
      </c>
      <c r="C784" t="s">
        <v>35</v>
      </c>
      <c r="D784" t="s">
        <v>28</v>
      </c>
      <c r="E784">
        <v>15</v>
      </c>
      <c r="F784">
        <v>150</v>
      </c>
      <c r="G784">
        <v>2250</v>
      </c>
      <c r="H784">
        <v>0.08</v>
      </c>
      <c r="I784">
        <v>180</v>
      </c>
      <c r="J784">
        <v>2070</v>
      </c>
      <c r="K784" t="s">
        <v>38</v>
      </c>
    </row>
    <row r="785" spans="1:11" x14ac:dyDescent="0.3">
      <c r="A785" t="s">
        <v>816</v>
      </c>
      <c r="B785" s="1">
        <v>43295</v>
      </c>
      <c r="C785" t="s">
        <v>12</v>
      </c>
      <c r="D785" t="s">
        <v>13</v>
      </c>
      <c r="E785">
        <v>17</v>
      </c>
      <c r="F785">
        <v>80</v>
      </c>
      <c r="G785">
        <v>1360</v>
      </c>
      <c r="H785">
        <v>0.09</v>
      </c>
      <c r="I785">
        <v>122.39999999999999</v>
      </c>
      <c r="J785">
        <v>1238</v>
      </c>
      <c r="K785" t="s">
        <v>21</v>
      </c>
    </row>
    <row r="786" spans="1:11" x14ac:dyDescent="0.3">
      <c r="A786" t="s">
        <v>817</v>
      </c>
      <c r="B786" s="1">
        <v>43295</v>
      </c>
      <c r="C786" t="s">
        <v>35</v>
      </c>
      <c r="D786" t="s">
        <v>32</v>
      </c>
      <c r="E786">
        <v>13</v>
      </c>
      <c r="F786">
        <v>150</v>
      </c>
      <c r="G786">
        <v>1950</v>
      </c>
      <c r="H786">
        <v>0.11</v>
      </c>
      <c r="I786">
        <v>214.5</v>
      </c>
      <c r="J786">
        <v>1736</v>
      </c>
      <c r="K786" t="s">
        <v>38</v>
      </c>
    </row>
    <row r="787" spans="1:11" x14ac:dyDescent="0.3">
      <c r="A787" t="s">
        <v>818</v>
      </c>
      <c r="B787" s="1">
        <v>43295</v>
      </c>
      <c r="C787" t="s">
        <v>16</v>
      </c>
      <c r="D787" t="s">
        <v>28</v>
      </c>
      <c r="E787">
        <v>7</v>
      </c>
      <c r="F787">
        <v>40</v>
      </c>
      <c r="G787">
        <v>280</v>
      </c>
      <c r="H787">
        <v>7.0000000000000007E-2</v>
      </c>
      <c r="I787">
        <v>19.600000000000001</v>
      </c>
      <c r="J787">
        <v>260</v>
      </c>
      <c r="K787" t="s">
        <v>21</v>
      </c>
    </row>
    <row r="788" spans="1:11" x14ac:dyDescent="0.3">
      <c r="A788" t="s">
        <v>819</v>
      </c>
      <c r="B788" s="1">
        <v>43295</v>
      </c>
      <c r="C788" t="s">
        <v>20</v>
      </c>
      <c r="D788" t="s">
        <v>28</v>
      </c>
      <c r="E788">
        <v>3</v>
      </c>
      <c r="F788">
        <v>230</v>
      </c>
      <c r="G788">
        <v>690</v>
      </c>
      <c r="H788">
        <v>0.01</v>
      </c>
      <c r="I788">
        <v>6.9</v>
      </c>
      <c r="J788">
        <v>683</v>
      </c>
      <c r="K788" t="s">
        <v>38</v>
      </c>
    </row>
    <row r="789" spans="1:11" x14ac:dyDescent="0.3">
      <c r="A789" t="s">
        <v>820</v>
      </c>
      <c r="B789" s="1">
        <v>43295</v>
      </c>
      <c r="C789" t="s">
        <v>16</v>
      </c>
      <c r="D789" t="s">
        <v>25</v>
      </c>
      <c r="E789">
        <v>12</v>
      </c>
      <c r="F789">
        <v>40</v>
      </c>
      <c r="G789">
        <v>480</v>
      </c>
      <c r="H789">
        <v>0.02</v>
      </c>
      <c r="I789">
        <v>9.6</v>
      </c>
      <c r="J789">
        <v>470</v>
      </c>
      <c r="K789" t="s">
        <v>21</v>
      </c>
    </row>
    <row r="790" spans="1:11" x14ac:dyDescent="0.3">
      <c r="A790" t="s">
        <v>821</v>
      </c>
      <c r="B790" s="1">
        <v>43295</v>
      </c>
      <c r="C790" t="s">
        <v>35</v>
      </c>
      <c r="D790" t="s">
        <v>25</v>
      </c>
      <c r="E790">
        <v>11</v>
      </c>
      <c r="F790">
        <v>150</v>
      </c>
      <c r="G790">
        <v>1650</v>
      </c>
      <c r="H790">
        <v>0.11</v>
      </c>
      <c r="I790">
        <v>181.5</v>
      </c>
      <c r="J790">
        <v>1468</v>
      </c>
      <c r="K790" t="s">
        <v>38</v>
      </c>
    </row>
    <row r="791" spans="1:11" x14ac:dyDescent="0.3">
      <c r="A791" t="s">
        <v>822</v>
      </c>
      <c r="B791" s="1">
        <v>43295</v>
      </c>
      <c r="C791" t="s">
        <v>16</v>
      </c>
      <c r="D791" t="s">
        <v>17</v>
      </c>
      <c r="E791">
        <v>21</v>
      </c>
      <c r="F791">
        <v>40</v>
      </c>
      <c r="G791">
        <v>840</v>
      </c>
      <c r="H791">
        <v>0.03</v>
      </c>
      <c r="I791">
        <v>25.2</v>
      </c>
      <c r="J791">
        <v>815</v>
      </c>
      <c r="K791" t="s">
        <v>21</v>
      </c>
    </row>
    <row r="792" spans="1:11" x14ac:dyDescent="0.3">
      <c r="A792" t="s">
        <v>823</v>
      </c>
      <c r="B792" s="1">
        <v>43295</v>
      </c>
      <c r="C792" t="s">
        <v>35</v>
      </c>
      <c r="D792" t="s">
        <v>13</v>
      </c>
      <c r="E792">
        <v>22</v>
      </c>
      <c r="F792">
        <v>150</v>
      </c>
      <c r="G792">
        <v>3300</v>
      </c>
      <c r="H792">
        <v>7.0000000000000007E-2</v>
      </c>
      <c r="I792">
        <v>231.00000000000003</v>
      </c>
      <c r="J792">
        <v>3069</v>
      </c>
      <c r="K792" t="s">
        <v>38</v>
      </c>
    </row>
    <row r="793" spans="1:11" x14ac:dyDescent="0.3">
      <c r="A793" t="s">
        <v>824</v>
      </c>
      <c r="B793" s="1">
        <v>43295</v>
      </c>
      <c r="C793" t="s">
        <v>16</v>
      </c>
      <c r="D793" t="s">
        <v>25</v>
      </c>
      <c r="E793">
        <v>20</v>
      </c>
      <c r="F793">
        <v>40</v>
      </c>
      <c r="G793">
        <v>800</v>
      </c>
      <c r="H793">
        <v>0.01</v>
      </c>
      <c r="I793">
        <v>8</v>
      </c>
      <c r="J793">
        <v>792</v>
      </c>
      <c r="K793" t="s">
        <v>21</v>
      </c>
    </row>
    <row r="794" spans="1:11" x14ac:dyDescent="0.3">
      <c r="A794" t="s">
        <v>825</v>
      </c>
      <c r="B794" s="1">
        <v>43296</v>
      </c>
      <c r="C794" t="s">
        <v>31</v>
      </c>
      <c r="D794" t="s">
        <v>32</v>
      </c>
      <c r="E794">
        <v>22</v>
      </c>
      <c r="F794">
        <v>16</v>
      </c>
      <c r="G794">
        <v>352</v>
      </c>
      <c r="H794">
        <v>0.12</v>
      </c>
      <c r="I794">
        <v>42.239999999999995</v>
      </c>
      <c r="J794">
        <v>310</v>
      </c>
      <c r="K794" t="s">
        <v>38</v>
      </c>
    </row>
    <row r="795" spans="1:11" x14ac:dyDescent="0.3">
      <c r="A795" t="s">
        <v>826</v>
      </c>
      <c r="B795" s="1">
        <v>43296</v>
      </c>
      <c r="C795" t="s">
        <v>16</v>
      </c>
      <c r="D795" t="s">
        <v>25</v>
      </c>
      <c r="E795">
        <v>4</v>
      </c>
      <c r="F795">
        <v>40</v>
      </c>
      <c r="G795">
        <v>160</v>
      </c>
      <c r="H795">
        <v>0.1</v>
      </c>
      <c r="I795">
        <v>16</v>
      </c>
      <c r="J795">
        <v>144</v>
      </c>
      <c r="K795" t="s">
        <v>21</v>
      </c>
    </row>
    <row r="796" spans="1:11" x14ac:dyDescent="0.3">
      <c r="A796" t="s">
        <v>827</v>
      </c>
      <c r="B796" s="1">
        <v>43296</v>
      </c>
      <c r="C796" t="s">
        <v>20</v>
      </c>
      <c r="D796" t="s">
        <v>28</v>
      </c>
      <c r="E796">
        <v>2</v>
      </c>
      <c r="F796">
        <v>230</v>
      </c>
      <c r="G796">
        <v>460</v>
      </c>
      <c r="H796">
        <v>0.09</v>
      </c>
      <c r="I796">
        <v>41.4</v>
      </c>
      <c r="J796">
        <v>419</v>
      </c>
      <c r="K796" t="s">
        <v>38</v>
      </c>
    </row>
    <row r="797" spans="1:11" x14ac:dyDescent="0.3">
      <c r="A797" t="s">
        <v>828</v>
      </c>
      <c r="B797" s="1">
        <v>43296</v>
      </c>
      <c r="C797" t="s">
        <v>16</v>
      </c>
      <c r="D797" t="s">
        <v>13</v>
      </c>
      <c r="E797">
        <v>22</v>
      </c>
      <c r="F797">
        <v>40</v>
      </c>
      <c r="G797">
        <v>880</v>
      </c>
      <c r="H797">
        <v>0.02</v>
      </c>
      <c r="I797">
        <v>17.600000000000001</v>
      </c>
      <c r="J797">
        <v>862</v>
      </c>
      <c r="K797" t="s">
        <v>21</v>
      </c>
    </row>
    <row r="798" spans="1:11" x14ac:dyDescent="0.3">
      <c r="A798" t="s">
        <v>829</v>
      </c>
      <c r="B798" s="1">
        <v>43296</v>
      </c>
      <c r="C798" t="s">
        <v>16</v>
      </c>
      <c r="D798" t="s">
        <v>17</v>
      </c>
      <c r="E798">
        <v>4</v>
      </c>
      <c r="F798">
        <v>40</v>
      </c>
      <c r="G798">
        <v>160</v>
      </c>
      <c r="H798">
        <v>0.03</v>
      </c>
      <c r="I798">
        <v>4.8</v>
      </c>
      <c r="J798">
        <v>155</v>
      </c>
      <c r="K798" t="s">
        <v>38</v>
      </c>
    </row>
    <row r="799" spans="1:11" x14ac:dyDescent="0.3">
      <c r="A799" t="s">
        <v>830</v>
      </c>
      <c r="B799" s="1">
        <v>43296</v>
      </c>
      <c r="C799" t="s">
        <v>31</v>
      </c>
      <c r="D799" t="s">
        <v>17</v>
      </c>
      <c r="E799">
        <v>5</v>
      </c>
      <c r="F799">
        <v>16</v>
      </c>
      <c r="G799">
        <v>80</v>
      </c>
      <c r="H799">
        <v>0.11</v>
      </c>
      <c r="I799">
        <v>8.8000000000000007</v>
      </c>
      <c r="J799">
        <v>71</v>
      </c>
      <c r="K799" t="s">
        <v>21</v>
      </c>
    </row>
    <row r="800" spans="1:11" x14ac:dyDescent="0.3">
      <c r="A800" t="s">
        <v>831</v>
      </c>
      <c r="B800" s="1">
        <v>43296</v>
      </c>
      <c r="C800" t="s">
        <v>12</v>
      </c>
      <c r="D800" t="s">
        <v>28</v>
      </c>
      <c r="E800">
        <v>2</v>
      </c>
      <c r="F800">
        <v>80</v>
      </c>
      <c r="G800">
        <v>160</v>
      </c>
      <c r="H800">
        <v>0.08</v>
      </c>
      <c r="I800">
        <v>12.8</v>
      </c>
      <c r="J800">
        <v>147</v>
      </c>
      <c r="K800" t="s">
        <v>38</v>
      </c>
    </row>
    <row r="801" spans="1:11" x14ac:dyDescent="0.3">
      <c r="A801" t="s">
        <v>832</v>
      </c>
      <c r="B801" s="1">
        <v>43296</v>
      </c>
      <c r="C801" t="s">
        <v>31</v>
      </c>
      <c r="D801" t="s">
        <v>25</v>
      </c>
      <c r="E801">
        <v>9</v>
      </c>
      <c r="F801">
        <v>16</v>
      </c>
      <c r="G801">
        <v>144</v>
      </c>
      <c r="H801">
        <v>0.05</v>
      </c>
      <c r="I801">
        <v>7.2</v>
      </c>
      <c r="J801">
        <v>137</v>
      </c>
      <c r="K801" t="s">
        <v>21</v>
      </c>
    </row>
    <row r="802" spans="1:11" x14ac:dyDescent="0.3">
      <c r="A802" t="s">
        <v>833</v>
      </c>
      <c r="B802" s="1">
        <v>43296</v>
      </c>
      <c r="C802" t="s">
        <v>20</v>
      </c>
      <c r="D802" t="s">
        <v>25</v>
      </c>
      <c r="E802">
        <v>6</v>
      </c>
      <c r="F802">
        <v>230</v>
      </c>
      <c r="G802">
        <v>1380</v>
      </c>
      <c r="H802">
        <v>0.05</v>
      </c>
      <c r="I802">
        <v>69</v>
      </c>
      <c r="J802">
        <v>1311</v>
      </c>
      <c r="K802" t="s">
        <v>38</v>
      </c>
    </row>
    <row r="803" spans="1:11" x14ac:dyDescent="0.3">
      <c r="A803" t="s">
        <v>834</v>
      </c>
      <c r="B803" s="1">
        <v>43296</v>
      </c>
      <c r="C803" t="s">
        <v>35</v>
      </c>
      <c r="D803" t="s">
        <v>28</v>
      </c>
      <c r="E803">
        <v>22</v>
      </c>
      <c r="F803">
        <v>150</v>
      </c>
      <c r="G803">
        <v>3300</v>
      </c>
      <c r="H803">
        <v>0.05</v>
      </c>
      <c r="I803">
        <v>165</v>
      </c>
      <c r="J803">
        <v>3135</v>
      </c>
      <c r="K803" t="s">
        <v>21</v>
      </c>
    </row>
    <row r="804" spans="1:11" x14ac:dyDescent="0.3">
      <c r="A804" t="s">
        <v>835</v>
      </c>
      <c r="B804" s="1">
        <v>43297</v>
      </c>
      <c r="C804" t="s">
        <v>20</v>
      </c>
      <c r="D804" t="s">
        <v>28</v>
      </c>
      <c r="E804">
        <v>8</v>
      </c>
      <c r="F804">
        <v>230</v>
      </c>
      <c r="G804">
        <v>1840</v>
      </c>
      <c r="H804">
        <v>0.01</v>
      </c>
      <c r="I804">
        <v>18.400000000000002</v>
      </c>
      <c r="J804">
        <v>1822</v>
      </c>
      <c r="K804" t="s">
        <v>38</v>
      </c>
    </row>
    <row r="805" spans="1:11" x14ac:dyDescent="0.3">
      <c r="A805" t="s">
        <v>836</v>
      </c>
      <c r="B805" s="1">
        <v>43297</v>
      </c>
      <c r="C805" t="s">
        <v>35</v>
      </c>
      <c r="D805" t="s">
        <v>13</v>
      </c>
      <c r="E805">
        <v>22</v>
      </c>
      <c r="F805">
        <v>150</v>
      </c>
      <c r="G805">
        <v>3300</v>
      </c>
      <c r="H805">
        <v>0.05</v>
      </c>
      <c r="I805">
        <v>165</v>
      </c>
      <c r="J805">
        <v>3135</v>
      </c>
      <c r="K805" t="s">
        <v>21</v>
      </c>
    </row>
    <row r="806" spans="1:11" x14ac:dyDescent="0.3">
      <c r="A806" t="s">
        <v>837</v>
      </c>
      <c r="B806" s="1">
        <v>43297</v>
      </c>
      <c r="C806" t="s">
        <v>16</v>
      </c>
      <c r="D806" t="s">
        <v>13</v>
      </c>
      <c r="E806">
        <v>5</v>
      </c>
      <c r="F806">
        <v>40</v>
      </c>
      <c r="G806">
        <v>200</v>
      </c>
      <c r="H806">
        <v>0.06</v>
      </c>
      <c r="I806">
        <v>12</v>
      </c>
      <c r="J806">
        <v>188</v>
      </c>
      <c r="K806" t="s">
        <v>38</v>
      </c>
    </row>
    <row r="807" spans="1:11" x14ac:dyDescent="0.3">
      <c r="A807" t="s">
        <v>838</v>
      </c>
      <c r="B807" s="1">
        <v>43297</v>
      </c>
      <c r="C807" t="s">
        <v>35</v>
      </c>
      <c r="D807" t="s">
        <v>28</v>
      </c>
      <c r="E807">
        <v>20</v>
      </c>
      <c r="F807">
        <v>150</v>
      </c>
      <c r="G807">
        <v>3000</v>
      </c>
      <c r="H807">
        <v>0.1</v>
      </c>
      <c r="I807">
        <v>300</v>
      </c>
      <c r="J807">
        <v>2700</v>
      </c>
      <c r="K807" t="s">
        <v>21</v>
      </c>
    </row>
    <row r="808" spans="1:11" x14ac:dyDescent="0.3">
      <c r="A808" t="s">
        <v>839</v>
      </c>
      <c r="B808" s="1">
        <v>43297</v>
      </c>
      <c r="C808" t="s">
        <v>12</v>
      </c>
      <c r="D808" t="s">
        <v>28</v>
      </c>
      <c r="E808">
        <v>22</v>
      </c>
      <c r="F808">
        <v>80</v>
      </c>
      <c r="G808">
        <v>1760</v>
      </c>
      <c r="H808">
        <v>0.03</v>
      </c>
      <c r="I808">
        <v>52.8</v>
      </c>
      <c r="J808">
        <v>1707</v>
      </c>
      <c r="K808" t="s">
        <v>38</v>
      </c>
    </row>
    <row r="809" spans="1:11" x14ac:dyDescent="0.3">
      <c r="A809" t="s">
        <v>840</v>
      </c>
      <c r="B809" s="1">
        <v>43297</v>
      </c>
      <c r="C809" t="s">
        <v>31</v>
      </c>
      <c r="D809" t="s">
        <v>13</v>
      </c>
      <c r="E809">
        <v>11</v>
      </c>
      <c r="F809">
        <v>16</v>
      </c>
      <c r="G809">
        <v>176</v>
      </c>
      <c r="H809">
        <v>0.09</v>
      </c>
      <c r="I809">
        <v>15.84</v>
      </c>
      <c r="J809">
        <v>160</v>
      </c>
      <c r="K809" t="s">
        <v>21</v>
      </c>
    </row>
    <row r="810" spans="1:11" x14ac:dyDescent="0.3">
      <c r="A810" t="s">
        <v>841</v>
      </c>
      <c r="B810" s="1">
        <v>43297</v>
      </c>
      <c r="C810" t="s">
        <v>31</v>
      </c>
      <c r="D810" t="s">
        <v>17</v>
      </c>
      <c r="E810">
        <v>22</v>
      </c>
      <c r="F810">
        <v>16</v>
      </c>
      <c r="G810">
        <v>352</v>
      </c>
      <c r="H810">
        <v>0.01</v>
      </c>
      <c r="I810">
        <v>3.52</v>
      </c>
      <c r="J810">
        <v>348</v>
      </c>
      <c r="K810" t="s">
        <v>38</v>
      </c>
    </row>
    <row r="811" spans="1:11" x14ac:dyDescent="0.3">
      <c r="A811" t="s">
        <v>842</v>
      </c>
      <c r="B811" s="1">
        <v>43297</v>
      </c>
      <c r="C811" t="s">
        <v>16</v>
      </c>
      <c r="D811" t="s">
        <v>17</v>
      </c>
      <c r="E811">
        <v>23</v>
      </c>
      <c r="F811">
        <v>40</v>
      </c>
      <c r="G811">
        <v>920</v>
      </c>
      <c r="H811">
        <v>0.06</v>
      </c>
      <c r="I811">
        <v>55.199999999999996</v>
      </c>
      <c r="J811">
        <v>865</v>
      </c>
      <c r="K811" t="s">
        <v>21</v>
      </c>
    </row>
    <row r="812" spans="1:11" x14ac:dyDescent="0.3">
      <c r="A812" t="s">
        <v>843</v>
      </c>
      <c r="B812" s="1">
        <v>43297</v>
      </c>
      <c r="C812" t="s">
        <v>12</v>
      </c>
      <c r="D812" t="s">
        <v>25</v>
      </c>
      <c r="E812">
        <v>14</v>
      </c>
      <c r="F812">
        <v>80</v>
      </c>
      <c r="G812">
        <v>1120</v>
      </c>
      <c r="H812">
        <v>0.1</v>
      </c>
      <c r="I812">
        <v>112</v>
      </c>
      <c r="J812">
        <v>1008</v>
      </c>
      <c r="K812" t="s">
        <v>38</v>
      </c>
    </row>
    <row r="813" spans="1:11" x14ac:dyDescent="0.3">
      <c r="A813" t="s">
        <v>844</v>
      </c>
      <c r="B813" s="1">
        <v>43297</v>
      </c>
      <c r="C813" t="s">
        <v>16</v>
      </c>
      <c r="D813" t="s">
        <v>13</v>
      </c>
      <c r="E813">
        <v>18</v>
      </c>
      <c r="F813">
        <v>40</v>
      </c>
      <c r="G813">
        <v>720</v>
      </c>
      <c r="H813">
        <v>0.06</v>
      </c>
      <c r="I813">
        <v>43.199999999999996</v>
      </c>
      <c r="J813">
        <v>677</v>
      </c>
      <c r="K813" t="s">
        <v>21</v>
      </c>
    </row>
    <row r="814" spans="1:11" x14ac:dyDescent="0.3">
      <c r="A814" t="s">
        <v>845</v>
      </c>
      <c r="B814" s="1">
        <v>43298</v>
      </c>
      <c r="C814" t="s">
        <v>35</v>
      </c>
      <c r="D814" t="s">
        <v>28</v>
      </c>
      <c r="E814">
        <v>7</v>
      </c>
      <c r="F814">
        <v>150</v>
      </c>
      <c r="G814">
        <v>1050</v>
      </c>
      <c r="H814">
        <v>0.05</v>
      </c>
      <c r="I814">
        <v>52.5</v>
      </c>
      <c r="J814">
        <v>998</v>
      </c>
      <c r="K814" t="s">
        <v>18</v>
      </c>
    </row>
    <row r="815" spans="1:11" x14ac:dyDescent="0.3">
      <c r="A815" t="s">
        <v>846</v>
      </c>
      <c r="B815" s="1">
        <v>43298</v>
      </c>
      <c r="C815" t="s">
        <v>16</v>
      </c>
      <c r="D815" t="s">
        <v>28</v>
      </c>
      <c r="E815">
        <v>15</v>
      </c>
      <c r="F815">
        <v>40</v>
      </c>
      <c r="G815">
        <v>600</v>
      </c>
      <c r="H815">
        <v>0.03</v>
      </c>
      <c r="I815">
        <v>18</v>
      </c>
      <c r="J815">
        <v>582</v>
      </c>
      <c r="K815" t="s">
        <v>21</v>
      </c>
    </row>
    <row r="816" spans="1:11" x14ac:dyDescent="0.3">
      <c r="A816" t="s">
        <v>847</v>
      </c>
      <c r="B816" s="1">
        <v>43298</v>
      </c>
      <c r="C816" t="s">
        <v>31</v>
      </c>
      <c r="D816" t="s">
        <v>13</v>
      </c>
      <c r="E816">
        <v>7</v>
      </c>
      <c r="F816">
        <v>16</v>
      </c>
      <c r="G816">
        <v>112</v>
      </c>
      <c r="H816">
        <v>0.02</v>
      </c>
      <c r="I816">
        <v>2.2400000000000002</v>
      </c>
      <c r="J816">
        <v>110</v>
      </c>
      <c r="K816" t="s">
        <v>23</v>
      </c>
    </row>
    <row r="817" spans="1:11" x14ac:dyDescent="0.3">
      <c r="A817" t="s">
        <v>848</v>
      </c>
      <c r="B817" s="1">
        <v>43298</v>
      </c>
      <c r="C817" t="s">
        <v>31</v>
      </c>
      <c r="D817" t="s">
        <v>28</v>
      </c>
      <c r="E817">
        <v>15</v>
      </c>
      <c r="F817">
        <v>16</v>
      </c>
      <c r="G817">
        <v>240</v>
      </c>
      <c r="H817">
        <v>0.12</v>
      </c>
      <c r="I817">
        <v>28.799999999999997</v>
      </c>
      <c r="J817">
        <v>211</v>
      </c>
      <c r="K817" t="s">
        <v>26</v>
      </c>
    </row>
    <row r="818" spans="1:11" x14ac:dyDescent="0.3">
      <c r="A818" t="s">
        <v>849</v>
      </c>
      <c r="B818" s="1">
        <v>43298</v>
      </c>
      <c r="C818" t="s">
        <v>16</v>
      </c>
      <c r="D818" t="s">
        <v>13</v>
      </c>
      <c r="E818">
        <v>5</v>
      </c>
      <c r="F818">
        <v>40</v>
      </c>
      <c r="G818">
        <v>200</v>
      </c>
      <c r="H818">
        <v>0.09</v>
      </c>
      <c r="I818">
        <v>18</v>
      </c>
      <c r="J818">
        <v>182</v>
      </c>
      <c r="K818" t="s">
        <v>29</v>
      </c>
    </row>
    <row r="819" spans="1:11" x14ac:dyDescent="0.3">
      <c r="A819" t="s">
        <v>850</v>
      </c>
      <c r="B819" s="1">
        <v>43298</v>
      </c>
      <c r="C819" t="s">
        <v>16</v>
      </c>
      <c r="D819" t="s">
        <v>32</v>
      </c>
      <c r="E819">
        <v>20</v>
      </c>
      <c r="F819">
        <v>40</v>
      </c>
      <c r="G819">
        <v>800</v>
      </c>
      <c r="H819">
        <v>0.03</v>
      </c>
      <c r="I819">
        <v>24</v>
      </c>
      <c r="J819">
        <v>776</v>
      </c>
      <c r="K819" t="s">
        <v>33</v>
      </c>
    </row>
    <row r="820" spans="1:11" x14ac:dyDescent="0.3">
      <c r="A820" t="s">
        <v>851</v>
      </c>
      <c r="B820" s="1">
        <v>43298</v>
      </c>
      <c r="C820" t="s">
        <v>20</v>
      </c>
      <c r="D820" t="s">
        <v>28</v>
      </c>
      <c r="E820">
        <v>11</v>
      </c>
      <c r="F820">
        <v>230</v>
      </c>
      <c r="G820">
        <v>2530</v>
      </c>
      <c r="H820">
        <v>0.12</v>
      </c>
      <c r="I820">
        <v>303.59999999999997</v>
      </c>
      <c r="J820">
        <v>2226</v>
      </c>
      <c r="K820" t="s">
        <v>36</v>
      </c>
    </row>
    <row r="821" spans="1:11" x14ac:dyDescent="0.3">
      <c r="A821" t="s">
        <v>852</v>
      </c>
      <c r="B821" s="1">
        <v>43298</v>
      </c>
      <c r="C821" t="s">
        <v>31</v>
      </c>
      <c r="D821" t="s">
        <v>32</v>
      </c>
      <c r="E821">
        <v>17</v>
      </c>
      <c r="F821">
        <v>16</v>
      </c>
      <c r="G821">
        <v>272</v>
      </c>
      <c r="H821">
        <v>0.08</v>
      </c>
      <c r="I821">
        <v>21.76</v>
      </c>
      <c r="J821">
        <v>250</v>
      </c>
      <c r="K821" t="s">
        <v>38</v>
      </c>
    </row>
    <row r="822" spans="1:11" x14ac:dyDescent="0.3">
      <c r="A822" t="s">
        <v>853</v>
      </c>
      <c r="B822" s="1">
        <v>43299</v>
      </c>
      <c r="C822" t="s">
        <v>31</v>
      </c>
      <c r="D822" t="s">
        <v>13</v>
      </c>
      <c r="E822">
        <v>18</v>
      </c>
      <c r="F822">
        <v>16</v>
      </c>
      <c r="G822">
        <v>288</v>
      </c>
      <c r="H822">
        <v>0.11</v>
      </c>
      <c r="I822">
        <v>31.68</v>
      </c>
      <c r="J822">
        <v>256</v>
      </c>
      <c r="K822" t="s">
        <v>40</v>
      </c>
    </row>
    <row r="823" spans="1:11" x14ac:dyDescent="0.3">
      <c r="A823" t="s">
        <v>854</v>
      </c>
      <c r="B823" s="1">
        <v>43299</v>
      </c>
      <c r="C823" t="s">
        <v>20</v>
      </c>
      <c r="D823" t="s">
        <v>28</v>
      </c>
      <c r="E823">
        <v>2</v>
      </c>
      <c r="F823">
        <v>230</v>
      </c>
      <c r="G823">
        <v>460</v>
      </c>
      <c r="H823">
        <v>0.08</v>
      </c>
      <c r="I823">
        <v>36.800000000000004</v>
      </c>
      <c r="J823">
        <v>423</v>
      </c>
      <c r="K823" t="s">
        <v>42</v>
      </c>
    </row>
    <row r="824" spans="1:11" x14ac:dyDescent="0.3">
      <c r="A824" t="s">
        <v>855</v>
      </c>
      <c r="B824" s="1">
        <v>43299</v>
      </c>
      <c r="C824" t="s">
        <v>31</v>
      </c>
      <c r="D824" t="s">
        <v>25</v>
      </c>
      <c r="E824">
        <v>17</v>
      </c>
      <c r="F824">
        <v>16</v>
      </c>
      <c r="G824">
        <v>272</v>
      </c>
      <c r="H824">
        <v>0.05</v>
      </c>
      <c r="I824">
        <v>13.600000000000001</v>
      </c>
      <c r="J824">
        <v>258</v>
      </c>
      <c r="K824" t="s">
        <v>44</v>
      </c>
    </row>
    <row r="825" spans="1:11" x14ac:dyDescent="0.3">
      <c r="A825" t="s">
        <v>856</v>
      </c>
      <c r="B825" s="1">
        <v>43299</v>
      </c>
      <c r="C825" t="s">
        <v>12</v>
      </c>
      <c r="D825" t="s">
        <v>28</v>
      </c>
      <c r="E825">
        <v>16</v>
      </c>
      <c r="F825">
        <v>80</v>
      </c>
      <c r="G825">
        <v>1280</v>
      </c>
      <c r="H825">
        <v>0.05</v>
      </c>
      <c r="I825">
        <v>64</v>
      </c>
      <c r="J825">
        <v>1216</v>
      </c>
      <c r="K825" t="s">
        <v>14</v>
      </c>
    </row>
    <row r="826" spans="1:11" x14ac:dyDescent="0.3">
      <c r="A826" t="s">
        <v>857</v>
      </c>
      <c r="B826" s="1">
        <v>43299</v>
      </c>
      <c r="C826" t="s">
        <v>20</v>
      </c>
      <c r="D826" t="s">
        <v>17</v>
      </c>
      <c r="E826">
        <v>14</v>
      </c>
      <c r="F826">
        <v>230</v>
      </c>
      <c r="G826">
        <v>3220</v>
      </c>
      <c r="H826">
        <v>0.05</v>
      </c>
      <c r="I826">
        <v>161</v>
      </c>
      <c r="J826">
        <v>3059</v>
      </c>
      <c r="K826" t="s">
        <v>18</v>
      </c>
    </row>
    <row r="827" spans="1:11" x14ac:dyDescent="0.3">
      <c r="A827" t="s">
        <v>858</v>
      </c>
      <c r="B827" s="1">
        <v>43299</v>
      </c>
      <c r="C827" t="s">
        <v>16</v>
      </c>
      <c r="D827" t="s">
        <v>25</v>
      </c>
      <c r="E827">
        <v>13</v>
      </c>
      <c r="F827">
        <v>40</v>
      </c>
      <c r="G827">
        <v>520</v>
      </c>
      <c r="H827">
        <v>0.02</v>
      </c>
      <c r="I827">
        <v>10.4</v>
      </c>
      <c r="J827">
        <v>510</v>
      </c>
      <c r="K827" t="s">
        <v>21</v>
      </c>
    </row>
    <row r="828" spans="1:11" x14ac:dyDescent="0.3">
      <c r="A828" t="s">
        <v>859</v>
      </c>
      <c r="B828" s="1">
        <v>43299</v>
      </c>
      <c r="C828" t="s">
        <v>20</v>
      </c>
      <c r="D828" t="s">
        <v>17</v>
      </c>
      <c r="E828">
        <v>7</v>
      </c>
      <c r="F828">
        <v>230</v>
      </c>
      <c r="G828">
        <v>1610</v>
      </c>
      <c r="H828">
        <v>0.08</v>
      </c>
      <c r="I828">
        <v>128.80000000000001</v>
      </c>
      <c r="J828">
        <v>1481</v>
      </c>
      <c r="K828" t="s">
        <v>23</v>
      </c>
    </row>
    <row r="829" spans="1:11" x14ac:dyDescent="0.3">
      <c r="A829" t="s">
        <v>860</v>
      </c>
      <c r="B829" s="1">
        <v>43299</v>
      </c>
      <c r="C829" t="s">
        <v>16</v>
      </c>
      <c r="D829" t="s">
        <v>28</v>
      </c>
      <c r="E829">
        <v>7</v>
      </c>
      <c r="F829">
        <v>40</v>
      </c>
      <c r="G829">
        <v>280</v>
      </c>
      <c r="H829">
        <v>0.11</v>
      </c>
      <c r="I829">
        <v>30.8</v>
      </c>
      <c r="J829">
        <v>249</v>
      </c>
      <c r="K829" t="s">
        <v>26</v>
      </c>
    </row>
    <row r="830" spans="1:11" x14ac:dyDescent="0.3">
      <c r="A830" t="s">
        <v>861</v>
      </c>
      <c r="B830" s="1">
        <v>43299</v>
      </c>
      <c r="C830" t="s">
        <v>20</v>
      </c>
      <c r="D830" t="s">
        <v>25</v>
      </c>
      <c r="E830">
        <v>12</v>
      </c>
      <c r="F830">
        <v>230</v>
      </c>
      <c r="G830">
        <v>2760</v>
      </c>
      <c r="H830">
        <v>0.06</v>
      </c>
      <c r="I830">
        <v>165.6</v>
      </c>
      <c r="J830">
        <v>2594</v>
      </c>
      <c r="K830" t="s">
        <v>29</v>
      </c>
    </row>
    <row r="831" spans="1:11" x14ac:dyDescent="0.3">
      <c r="A831" t="s">
        <v>862</v>
      </c>
      <c r="B831" s="1">
        <v>43299</v>
      </c>
      <c r="C831" t="s">
        <v>16</v>
      </c>
      <c r="D831" t="s">
        <v>13</v>
      </c>
      <c r="E831">
        <v>19</v>
      </c>
      <c r="F831">
        <v>40</v>
      </c>
      <c r="G831">
        <v>760</v>
      </c>
      <c r="H831">
        <v>0.04</v>
      </c>
      <c r="I831">
        <v>30.400000000000002</v>
      </c>
      <c r="J831">
        <v>730</v>
      </c>
      <c r="K831" t="s">
        <v>18</v>
      </c>
    </row>
    <row r="832" spans="1:11" x14ac:dyDescent="0.3">
      <c r="A832" t="s">
        <v>863</v>
      </c>
      <c r="B832" s="1">
        <v>43300</v>
      </c>
      <c r="C832" t="s">
        <v>20</v>
      </c>
      <c r="D832" t="s">
        <v>25</v>
      </c>
      <c r="E832">
        <v>20</v>
      </c>
      <c r="F832">
        <v>230</v>
      </c>
      <c r="G832">
        <v>4600</v>
      </c>
      <c r="H832">
        <v>0.06</v>
      </c>
      <c r="I832">
        <v>276</v>
      </c>
      <c r="J832">
        <v>4324</v>
      </c>
      <c r="K832" t="s">
        <v>21</v>
      </c>
    </row>
    <row r="833" spans="1:11" x14ac:dyDescent="0.3">
      <c r="A833" t="s">
        <v>864</v>
      </c>
      <c r="B833" s="1">
        <v>43300</v>
      </c>
      <c r="C833" t="s">
        <v>16</v>
      </c>
      <c r="D833" t="s">
        <v>32</v>
      </c>
      <c r="E833">
        <v>23</v>
      </c>
      <c r="F833">
        <v>40</v>
      </c>
      <c r="G833">
        <v>920</v>
      </c>
      <c r="H833">
        <v>0.04</v>
      </c>
      <c r="I833">
        <v>36.800000000000004</v>
      </c>
      <c r="J833">
        <v>883</v>
      </c>
      <c r="K833" t="s">
        <v>23</v>
      </c>
    </row>
    <row r="834" spans="1:11" x14ac:dyDescent="0.3">
      <c r="A834" t="s">
        <v>865</v>
      </c>
      <c r="B834" s="1">
        <v>43300</v>
      </c>
      <c r="C834" t="s">
        <v>12</v>
      </c>
      <c r="D834" t="s">
        <v>32</v>
      </c>
      <c r="E834">
        <v>16</v>
      </c>
      <c r="F834">
        <v>80</v>
      </c>
      <c r="G834">
        <v>1280</v>
      </c>
      <c r="H834">
        <v>0.05</v>
      </c>
      <c r="I834">
        <v>64</v>
      </c>
      <c r="J834">
        <v>1216</v>
      </c>
      <c r="K834" t="s">
        <v>26</v>
      </c>
    </row>
    <row r="835" spans="1:11" x14ac:dyDescent="0.3">
      <c r="A835" t="s">
        <v>866</v>
      </c>
      <c r="B835" s="1">
        <v>43300</v>
      </c>
      <c r="C835" t="s">
        <v>35</v>
      </c>
      <c r="D835" t="s">
        <v>17</v>
      </c>
      <c r="E835">
        <v>23</v>
      </c>
      <c r="F835">
        <v>150</v>
      </c>
      <c r="G835">
        <v>3450</v>
      </c>
      <c r="H835">
        <v>0.11</v>
      </c>
      <c r="I835">
        <v>379.5</v>
      </c>
      <c r="J835">
        <v>3070</v>
      </c>
      <c r="K835" t="s">
        <v>29</v>
      </c>
    </row>
    <row r="836" spans="1:11" x14ac:dyDescent="0.3">
      <c r="A836" t="s">
        <v>867</v>
      </c>
      <c r="B836" s="1">
        <v>43300</v>
      </c>
      <c r="C836" t="s">
        <v>31</v>
      </c>
      <c r="D836" t="s">
        <v>17</v>
      </c>
      <c r="E836">
        <v>4</v>
      </c>
      <c r="F836">
        <v>16</v>
      </c>
      <c r="G836">
        <v>64</v>
      </c>
      <c r="H836">
        <v>7.0000000000000007E-2</v>
      </c>
      <c r="I836">
        <v>4.4800000000000004</v>
      </c>
      <c r="J836">
        <v>60</v>
      </c>
      <c r="K836" t="s">
        <v>33</v>
      </c>
    </row>
    <row r="837" spans="1:11" x14ac:dyDescent="0.3">
      <c r="A837" t="s">
        <v>868</v>
      </c>
      <c r="B837" s="1">
        <v>43300</v>
      </c>
      <c r="C837" t="s">
        <v>20</v>
      </c>
      <c r="D837" t="s">
        <v>13</v>
      </c>
      <c r="E837">
        <v>8</v>
      </c>
      <c r="F837">
        <v>230</v>
      </c>
      <c r="G837">
        <v>1840</v>
      </c>
      <c r="H837">
        <v>0.03</v>
      </c>
      <c r="I837">
        <v>55.199999999999996</v>
      </c>
      <c r="J837">
        <v>1785</v>
      </c>
      <c r="K837" t="s">
        <v>36</v>
      </c>
    </row>
    <row r="838" spans="1:11" x14ac:dyDescent="0.3">
      <c r="A838" t="s">
        <v>869</v>
      </c>
      <c r="B838" s="1">
        <v>43300</v>
      </c>
      <c r="C838" t="s">
        <v>12</v>
      </c>
      <c r="D838" t="s">
        <v>17</v>
      </c>
      <c r="E838">
        <v>17</v>
      </c>
      <c r="F838">
        <v>80</v>
      </c>
      <c r="G838">
        <v>1360</v>
      </c>
      <c r="H838">
        <v>0.03</v>
      </c>
      <c r="I838">
        <v>40.799999999999997</v>
      </c>
      <c r="J838">
        <v>1319</v>
      </c>
      <c r="K838" t="s">
        <v>38</v>
      </c>
    </row>
    <row r="839" spans="1:11" x14ac:dyDescent="0.3">
      <c r="A839" t="s">
        <v>870</v>
      </c>
      <c r="B839" s="1">
        <v>43300</v>
      </c>
      <c r="C839" t="s">
        <v>12</v>
      </c>
      <c r="D839" t="s">
        <v>28</v>
      </c>
      <c r="E839">
        <v>10</v>
      </c>
      <c r="F839">
        <v>80</v>
      </c>
      <c r="G839">
        <v>800</v>
      </c>
      <c r="H839">
        <v>0.1</v>
      </c>
      <c r="I839">
        <v>80</v>
      </c>
      <c r="J839">
        <v>720</v>
      </c>
      <c r="K839" t="s">
        <v>40</v>
      </c>
    </row>
    <row r="840" spans="1:11" x14ac:dyDescent="0.3">
      <c r="A840" t="s">
        <v>871</v>
      </c>
      <c r="B840" s="1">
        <v>43300</v>
      </c>
      <c r="C840" t="s">
        <v>31</v>
      </c>
      <c r="D840" t="s">
        <v>13</v>
      </c>
      <c r="E840">
        <v>20</v>
      </c>
      <c r="F840">
        <v>16</v>
      </c>
      <c r="G840">
        <v>320</v>
      </c>
      <c r="H840">
        <v>0.11</v>
      </c>
      <c r="I840">
        <v>35.200000000000003</v>
      </c>
      <c r="J840">
        <v>285</v>
      </c>
      <c r="K840" t="s">
        <v>42</v>
      </c>
    </row>
    <row r="841" spans="1:11" x14ac:dyDescent="0.3">
      <c r="A841" t="s">
        <v>872</v>
      </c>
      <c r="B841" s="1">
        <v>43301</v>
      </c>
      <c r="C841" t="s">
        <v>20</v>
      </c>
      <c r="D841" t="s">
        <v>28</v>
      </c>
      <c r="E841">
        <v>19</v>
      </c>
      <c r="F841">
        <v>230</v>
      </c>
      <c r="G841">
        <v>4370</v>
      </c>
      <c r="H841">
        <v>0.06</v>
      </c>
      <c r="I841">
        <v>262.2</v>
      </c>
      <c r="J841">
        <v>4108</v>
      </c>
      <c r="K841" t="s">
        <v>44</v>
      </c>
    </row>
    <row r="842" spans="1:11" x14ac:dyDescent="0.3">
      <c r="A842" t="s">
        <v>873</v>
      </c>
      <c r="B842" s="1">
        <v>43301</v>
      </c>
      <c r="C842" t="s">
        <v>16</v>
      </c>
      <c r="D842" t="s">
        <v>25</v>
      </c>
      <c r="E842">
        <v>18</v>
      </c>
      <c r="F842">
        <v>40</v>
      </c>
      <c r="G842">
        <v>720</v>
      </c>
      <c r="H842">
        <v>0.03</v>
      </c>
      <c r="I842">
        <v>21.599999999999998</v>
      </c>
      <c r="J842">
        <v>698</v>
      </c>
      <c r="K842" t="s">
        <v>14</v>
      </c>
    </row>
    <row r="843" spans="1:11" x14ac:dyDescent="0.3">
      <c r="A843" t="s">
        <v>874</v>
      </c>
      <c r="B843" s="1">
        <v>43301</v>
      </c>
      <c r="C843" t="s">
        <v>12</v>
      </c>
      <c r="D843" t="s">
        <v>17</v>
      </c>
      <c r="E843">
        <v>16</v>
      </c>
      <c r="F843">
        <v>80</v>
      </c>
      <c r="G843">
        <v>1280</v>
      </c>
      <c r="H843">
        <v>0.04</v>
      </c>
      <c r="I843">
        <v>51.2</v>
      </c>
      <c r="J843">
        <v>1229</v>
      </c>
      <c r="K843" t="s">
        <v>18</v>
      </c>
    </row>
    <row r="844" spans="1:11" x14ac:dyDescent="0.3">
      <c r="A844" t="s">
        <v>875</v>
      </c>
      <c r="B844" s="1">
        <v>43301</v>
      </c>
      <c r="C844" t="s">
        <v>12</v>
      </c>
      <c r="D844" t="s">
        <v>28</v>
      </c>
      <c r="E844">
        <v>8</v>
      </c>
      <c r="F844">
        <v>80</v>
      </c>
      <c r="G844">
        <v>640</v>
      </c>
      <c r="H844">
        <v>0.06</v>
      </c>
      <c r="I844">
        <v>38.4</v>
      </c>
      <c r="J844">
        <v>602</v>
      </c>
      <c r="K844" t="s">
        <v>21</v>
      </c>
    </row>
    <row r="845" spans="1:11" x14ac:dyDescent="0.3">
      <c r="A845" t="s">
        <v>876</v>
      </c>
      <c r="B845" s="1">
        <v>43301</v>
      </c>
      <c r="C845" t="s">
        <v>35</v>
      </c>
      <c r="D845" t="s">
        <v>28</v>
      </c>
      <c r="E845">
        <v>4</v>
      </c>
      <c r="F845">
        <v>150</v>
      </c>
      <c r="G845">
        <v>600</v>
      </c>
      <c r="H845">
        <v>0.12</v>
      </c>
      <c r="I845">
        <v>72</v>
      </c>
      <c r="J845">
        <v>528</v>
      </c>
      <c r="K845" t="s">
        <v>23</v>
      </c>
    </row>
    <row r="846" spans="1:11" x14ac:dyDescent="0.3">
      <c r="A846" t="s">
        <v>877</v>
      </c>
      <c r="B846" s="1">
        <v>43301</v>
      </c>
      <c r="C846" t="s">
        <v>20</v>
      </c>
      <c r="D846" t="s">
        <v>25</v>
      </c>
      <c r="E846">
        <v>15</v>
      </c>
      <c r="F846">
        <v>230</v>
      </c>
      <c r="G846">
        <v>3450</v>
      </c>
      <c r="H846">
        <v>0.04</v>
      </c>
      <c r="I846">
        <v>138</v>
      </c>
      <c r="J846">
        <v>3312</v>
      </c>
      <c r="K846" t="s">
        <v>26</v>
      </c>
    </row>
    <row r="847" spans="1:11" x14ac:dyDescent="0.3">
      <c r="A847" t="s">
        <v>878</v>
      </c>
      <c r="B847" s="1">
        <v>43302</v>
      </c>
      <c r="C847" t="s">
        <v>31</v>
      </c>
      <c r="D847" t="s">
        <v>17</v>
      </c>
      <c r="E847">
        <v>7</v>
      </c>
      <c r="F847">
        <v>16</v>
      </c>
      <c r="G847">
        <v>112</v>
      </c>
      <c r="H847">
        <v>0.08</v>
      </c>
      <c r="I847">
        <v>8.9600000000000009</v>
      </c>
      <c r="J847">
        <v>103</v>
      </c>
      <c r="K847" t="s">
        <v>29</v>
      </c>
    </row>
    <row r="848" spans="1:11" x14ac:dyDescent="0.3">
      <c r="A848" t="s">
        <v>879</v>
      </c>
      <c r="B848" s="1">
        <v>43302</v>
      </c>
      <c r="C848" t="s">
        <v>16</v>
      </c>
      <c r="D848" t="s">
        <v>13</v>
      </c>
      <c r="E848">
        <v>18</v>
      </c>
      <c r="F848">
        <v>40</v>
      </c>
      <c r="G848">
        <v>720</v>
      </c>
      <c r="H848">
        <v>0.11</v>
      </c>
      <c r="I848">
        <v>79.2</v>
      </c>
      <c r="J848">
        <v>641</v>
      </c>
      <c r="K848" t="s">
        <v>18</v>
      </c>
    </row>
    <row r="849" spans="1:11" x14ac:dyDescent="0.3">
      <c r="A849" t="s">
        <v>880</v>
      </c>
      <c r="B849" s="1">
        <v>43302</v>
      </c>
      <c r="C849" t="s">
        <v>16</v>
      </c>
      <c r="D849" t="s">
        <v>25</v>
      </c>
      <c r="E849">
        <v>4</v>
      </c>
      <c r="F849">
        <v>40</v>
      </c>
      <c r="G849">
        <v>160</v>
      </c>
      <c r="H849">
        <v>0.06</v>
      </c>
      <c r="I849">
        <v>9.6</v>
      </c>
      <c r="J849">
        <v>150</v>
      </c>
      <c r="K849" t="s">
        <v>21</v>
      </c>
    </row>
    <row r="850" spans="1:11" x14ac:dyDescent="0.3">
      <c r="A850" t="s">
        <v>881</v>
      </c>
      <c r="B850" s="1">
        <v>43302</v>
      </c>
      <c r="C850" t="s">
        <v>16</v>
      </c>
      <c r="D850" t="s">
        <v>32</v>
      </c>
      <c r="E850">
        <v>16</v>
      </c>
      <c r="F850">
        <v>40</v>
      </c>
      <c r="G850">
        <v>640</v>
      </c>
      <c r="H850">
        <v>0.09</v>
      </c>
      <c r="I850">
        <v>57.599999999999994</v>
      </c>
      <c r="J850">
        <v>582</v>
      </c>
      <c r="K850" t="s">
        <v>23</v>
      </c>
    </row>
    <row r="851" spans="1:11" x14ac:dyDescent="0.3">
      <c r="A851" t="s">
        <v>882</v>
      </c>
      <c r="B851" s="1">
        <v>43302</v>
      </c>
      <c r="C851" t="s">
        <v>16</v>
      </c>
      <c r="D851" t="s">
        <v>17</v>
      </c>
      <c r="E851">
        <v>18</v>
      </c>
      <c r="F851">
        <v>40</v>
      </c>
      <c r="G851">
        <v>720</v>
      </c>
      <c r="H851">
        <v>0.08</v>
      </c>
      <c r="I851">
        <v>57.6</v>
      </c>
      <c r="J851">
        <v>662</v>
      </c>
      <c r="K851" t="s">
        <v>26</v>
      </c>
    </row>
    <row r="852" spans="1:11" x14ac:dyDescent="0.3">
      <c r="A852" t="s">
        <v>883</v>
      </c>
      <c r="B852" s="1">
        <v>43302</v>
      </c>
      <c r="C852" t="s">
        <v>16</v>
      </c>
      <c r="D852" t="s">
        <v>13</v>
      </c>
      <c r="E852">
        <v>9</v>
      </c>
      <c r="F852">
        <v>40</v>
      </c>
      <c r="G852">
        <v>360</v>
      </c>
      <c r="H852">
        <v>0.01</v>
      </c>
      <c r="I852">
        <v>3.6</v>
      </c>
      <c r="J852">
        <v>356</v>
      </c>
      <c r="K852" t="s">
        <v>29</v>
      </c>
    </row>
    <row r="853" spans="1:11" x14ac:dyDescent="0.3">
      <c r="A853" t="s">
        <v>884</v>
      </c>
      <c r="B853" s="1">
        <v>43302</v>
      </c>
      <c r="C853" t="s">
        <v>20</v>
      </c>
      <c r="D853" t="s">
        <v>28</v>
      </c>
      <c r="E853">
        <v>16</v>
      </c>
      <c r="F853">
        <v>230</v>
      </c>
      <c r="G853">
        <v>3680</v>
      </c>
      <c r="H853">
        <v>0.11</v>
      </c>
      <c r="I853">
        <v>404.8</v>
      </c>
      <c r="J853">
        <v>3275</v>
      </c>
      <c r="K853" t="s">
        <v>33</v>
      </c>
    </row>
    <row r="854" spans="1:11" x14ac:dyDescent="0.3">
      <c r="A854" t="s">
        <v>885</v>
      </c>
      <c r="B854" s="1">
        <v>43302</v>
      </c>
      <c r="C854" t="s">
        <v>31</v>
      </c>
      <c r="D854" t="s">
        <v>25</v>
      </c>
      <c r="E854">
        <v>12</v>
      </c>
      <c r="F854">
        <v>16</v>
      </c>
      <c r="G854">
        <v>192</v>
      </c>
      <c r="H854">
        <v>0.11</v>
      </c>
      <c r="I854">
        <v>21.12</v>
      </c>
      <c r="J854">
        <v>171</v>
      </c>
      <c r="K854" t="s">
        <v>36</v>
      </c>
    </row>
    <row r="855" spans="1:11" x14ac:dyDescent="0.3">
      <c r="A855" t="s">
        <v>886</v>
      </c>
      <c r="B855" s="1">
        <v>43302</v>
      </c>
      <c r="C855" t="s">
        <v>12</v>
      </c>
      <c r="D855" t="s">
        <v>17</v>
      </c>
      <c r="E855">
        <v>2</v>
      </c>
      <c r="F855">
        <v>80</v>
      </c>
      <c r="G855">
        <v>160</v>
      </c>
      <c r="H855">
        <v>7.0000000000000007E-2</v>
      </c>
      <c r="I855">
        <v>11.200000000000001</v>
      </c>
      <c r="J855">
        <v>149</v>
      </c>
      <c r="K855" t="s">
        <v>38</v>
      </c>
    </row>
    <row r="856" spans="1:11" x14ac:dyDescent="0.3">
      <c r="A856" t="s">
        <v>887</v>
      </c>
      <c r="B856" s="1">
        <v>43302</v>
      </c>
      <c r="C856" t="s">
        <v>16</v>
      </c>
      <c r="D856" t="s">
        <v>13</v>
      </c>
      <c r="E856">
        <v>2</v>
      </c>
      <c r="F856">
        <v>40</v>
      </c>
      <c r="G856">
        <v>80</v>
      </c>
      <c r="H856">
        <v>0.12</v>
      </c>
      <c r="I856">
        <v>9.6</v>
      </c>
      <c r="J856">
        <v>70</v>
      </c>
      <c r="K856" t="s">
        <v>40</v>
      </c>
    </row>
    <row r="857" spans="1:11" x14ac:dyDescent="0.3">
      <c r="A857" t="s">
        <v>888</v>
      </c>
      <c r="B857" s="1">
        <v>43303</v>
      </c>
      <c r="C857" t="s">
        <v>35</v>
      </c>
      <c r="D857" t="s">
        <v>13</v>
      </c>
      <c r="E857">
        <v>13</v>
      </c>
      <c r="F857">
        <v>150</v>
      </c>
      <c r="G857">
        <v>1950</v>
      </c>
      <c r="H857">
        <v>0.05</v>
      </c>
      <c r="I857">
        <v>97.5</v>
      </c>
      <c r="J857">
        <v>1852</v>
      </c>
      <c r="K857" t="s">
        <v>42</v>
      </c>
    </row>
    <row r="858" spans="1:11" x14ac:dyDescent="0.3">
      <c r="A858" t="s">
        <v>889</v>
      </c>
      <c r="B858" s="1">
        <v>43303</v>
      </c>
      <c r="C858" t="s">
        <v>12</v>
      </c>
      <c r="D858" t="s">
        <v>13</v>
      </c>
      <c r="E858">
        <v>14</v>
      </c>
      <c r="F858">
        <v>80</v>
      </c>
      <c r="G858">
        <v>1120</v>
      </c>
      <c r="H858">
        <v>0.08</v>
      </c>
      <c r="I858">
        <v>89.600000000000009</v>
      </c>
      <c r="J858">
        <v>1030</v>
      </c>
      <c r="K858" t="s">
        <v>44</v>
      </c>
    </row>
    <row r="859" spans="1:11" x14ac:dyDescent="0.3">
      <c r="A859" t="s">
        <v>890</v>
      </c>
      <c r="B859" s="1">
        <v>43303</v>
      </c>
      <c r="C859" t="s">
        <v>35</v>
      </c>
      <c r="D859" t="s">
        <v>28</v>
      </c>
      <c r="E859">
        <v>6</v>
      </c>
      <c r="F859">
        <v>150</v>
      </c>
      <c r="G859">
        <v>900</v>
      </c>
      <c r="H859">
        <v>0.03</v>
      </c>
      <c r="I859">
        <v>27</v>
      </c>
      <c r="J859">
        <v>873</v>
      </c>
      <c r="K859" t="s">
        <v>14</v>
      </c>
    </row>
    <row r="860" spans="1:11" x14ac:dyDescent="0.3">
      <c r="A860" t="s">
        <v>891</v>
      </c>
      <c r="B860" s="1">
        <v>43303</v>
      </c>
      <c r="C860" t="s">
        <v>12</v>
      </c>
      <c r="D860" t="s">
        <v>28</v>
      </c>
      <c r="E860">
        <v>23</v>
      </c>
      <c r="F860">
        <v>80</v>
      </c>
      <c r="G860">
        <v>1840</v>
      </c>
      <c r="H860">
        <v>0.11</v>
      </c>
      <c r="I860">
        <v>202.4</v>
      </c>
      <c r="J860">
        <v>1638</v>
      </c>
      <c r="K860" t="s">
        <v>18</v>
      </c>
    </row>
    <row r="861" spans="1:11" x14ac:dyDescent="0.3">
      <c r="A861" t="s">
        <v>892</v>
      </c>
      <c r="B861" s="1">
        <v>43303</v>
      </c>
      <c r="C861" t="s">
        <v>12</v>
      </c>
      <c r="D861" t="s">
        <v>28</v>
      </c>
      <c r="E861">
        <v>21</v>
      </c>
      <c r="F861">
        <v>80</v>
      </c>
      <c r="G861">
        <v>1680</v>
      </c>
      <c r="H861">
        <v>0.05</v>
      </c>
      <c r="I861">
        <v>84</v>
      </c>
      <c r="J861">
        <v>1596</v>
      </c>
      <c r="K861" t="s">
        <v>21</v>
      </c>
    </row>
    <row r="862" spans="1:11" x14ac:dyDescent="0.3">
      <c r="A862" t="s">
        <v>893</v>
      </c>
      <c r="B862" s="1">
        <v>43303</v>
      </c>
      <c r="C862" t="s">
        <v>31</v>
      </c>
      <c r="D862" t="s">
        <v>25</v>
      </c>
      <c r="E862">
        <v>3</v>
      </c>
      <c r="F862">
        <v>16</v>
      </c>
      <c r="G862">
        <v>48</v>
      </c>
      <c r="H862">
        <v>0.05</v>
      </c>
      <c r="I862">
        <v>2.4000000000000004</v>
      </c>
      <c r="J862">
        <v>46</v>
      </c>
      <c r="K862" t="s">
        <v>23</v>
      </c>
    </row>
    <row r="863" spans="1:11" x14ac:dyDescent="0.3">
      <c r="A863" t="s">
        <v>894</v>
      </c>
      <c r="B863" s="1">
        <v>43303</v>
      </c>
      <c r="C863" t="s">
        <v>31</v>
      </c>
      <c r="D863" t="s">
        <v>17</v>
      </c>
      <c r="E863">
        <v>21</v>
      </c>
      <c r="F863">
        <v>16</v>
      </c>
      <c r="G863">
        <v>336</v>
      </c>
      <c r="H863">
        <v>0.02</v>
      </c>
      <c r="I863">
        <v>6.72</v>
      </c>
      <c r="J863">
        <v>329</v>
      </c>
      <c r="K863" t="s">
        <v>26</v>
      </c>
    </row>
    <row r="864" spans="1:11" x14ac:dyDescent="0.3">
      <c r="A864" t="s">
        <v>895</v>
      </c>
      <c r="B864" s="1">
        <v>43303</v>
      </c>
      <c r="C864" t="s">
        <v>12</v>
      </c>
      <c r="D864" t="s">
        <v>28</v>
      </c>
      <c r="E864">
        <v>4</v>
      </c>
      <c r="F864">
        <v>80</v>
      </c>
      <c r="G864">
        <v>320</v>
      </c>
      <c r="H864">
        <v>0.11</v>
      </c>
      <c r="I864">
        <v>35.200000000000003</v>
      </c>
      <c r="J864">
        <v>285</v>
      </c>
      <c r="K864" t="s">
        <v>29</v>
      </c>
    </row>
    <row r="865" spans="1:11" x14ac:dyDescent="0.3">
      <c r="A865" t="s">
        <v>896</v>
      </c>
      <c r="B865" s="1">
        <v>43303</v>
      </c>
      <c r="C865" t="s">
        <v>35</v>
      </c>
      <c r="D865" t="s">
        <v>32</v>
      </c>
      <c r="E865">
        <v>23</v>
      </c>
      <c r="F865">
        <v>150</v>
      </c>
      <c r="G865">
        <v>3450</v>
      </c>
      <c r="H865">
        <v>0.08</v>
      </c>
      <c r="I865">
        <v>276</v>
      </c>
      <c r="J865">
        <v>3174</v>
      </c>
      <c r="K865" t="s">
        <v>18</v>
      </c>
    </row>
    <row r="866" spans="1:11" x14ac:dyDescent="0.3">
      <c r="A866" t="s">
        <v>897</v>
      </c>
      <c r="B866" s="1">
        <v>43303</v>
      </c>
      <c r="C866" t="s">
        <v>31</v>
      </c>
      <c r="D866" t="s">
        <v>32</v>
      </c>
      <c r="E866">
        <v>23</v>
      </c>
      <c r="F866">
        <v>16</v>
      </c>
      <c r="G866">
        <v>368</v>
      </c>
      <c r="H866">
        <v>0.01</v>
      </c>
      <c r="I866">
        <v>3.68</v>
      </c>
      <c r="J866">
        <v>364</v>
      </c>
      <c r="K866" t="s">
        <v>21</v>
      </c>
    </row>
    <row r="867" spans="1:11" x14ac:dyDescent="0.3">
      <c r="A867" t="s">
        <v>898</v>
      </c>
      <c r="B867" s="1">
        <v>43303</v>
      </c>
      <c r="C867" t="s">
        <v>16</v>
      </c>
      <c r="D867" t="s">
        <v>28</v>
      </c>
      <c r="E867">
        <v>22</v>
      </c>
      <c r="F867">
        <v>40</v>
      </c>
      <c r="G867">
        <v>880</v>
      </c>
      <c r="H867">
        <v>0.01</v>
      </c>
      <c r="I867">
        <v>8.8000000000000007</v>
      </c>
      <c r="J867">
        <v>871</v>
      </c>
      <c r="K867" t="s">
        <v>23</v>
      </c>
    </row>
    <row r="868" spans="1:11" x14ac:dyDescent="0.3">
      <c r="A868" t="s">
        <v>899</v>
      </c>
      <c r="B868" s="1">
        <v>43304</v>
      </c>
      <c r="C868" t="s">
        <v>35</v>
      </c>
      <c r="D868" t="s">
        <v>13</v>
      </c>
      <c r="E868">
        <v>8</v>
      </c>
      <c r="F868">
        <v>150</v>
      </c>
      <c r="G868">
        <v>1200</v>
      </c>
      <c r="H868">
        <v>0.09</v>
      </c>
      <c r="I868">
        <v>108</v>
      </c>
      <c r="J868">
        <v>1092</v>
      </c>
      <c r="K868" t="s">
        <v>26</v>
      </c>
    </row>
    <row r="869" spans="1:11" x14ac:dyDescent="0.3">
      <c r="A869" t="s">
        <v>900</v>
      </c>
      <c r="B869" s="1">
        <v>43304</v>
      </c>
      <c r="C869" t="s">
        <v>35</v>
      </c>
      <c r="D869" t="s">
        <v>13</v>
      </c>
      <c r="E869">
        <v>20</v>
      </c>
      <c r="F869">
        <v>150</v>
      </c>
      <c r="G869">
        <v>3000</v>
      </c>
      <c r="H869">
        <v>0.01</v>
      </c>
      <c r="I869">
        <v>30</v>
      </c>
      <c r="J869">
        <v>2970</v>
      </c>
      <c r="K869" t="s">
        <v>29</v>
      </c>
    </row>
    <row r="870" spans="1:11" x14ac:dyDescent="0.3">
      <c r="A870" t="s">
        <v>901</v>
      </c>
      <c r="B870" s="1">
        <v>43304</v>
      </c>
      <c r="C870" t="s">
        <v>20</v>
      </c>
      <c r="D870" t="s">
        <v>17</v>
      </c>
      <c r="E870">
        <v>22</v>
      </c>
      <c r="F870">
        <v>230</v>
      </c>
      <c r="G870">
        <v>5060</v>
      </c>
      <c r="H870">
        <v>0.11</v>
      </c>
      <c r="I870">
        <v>556.6</v>
      </c>
      <c r="J870">
        <v>4503</v>
      </c>
      <c r="K870" t="s">
        <v>33</v>
      </c>
    </row>
    <row r="871" spans="1:11" x14ac:dyDescent="0.3">
      <c r="A871" t="s">
        <v>902</v>
      </c>
      <c r="B871" s="1">
        <v>43304</v>
      </c>
      <c r="C871" t="s">
        <v>31</v>
      </c>
      <c r="D871" t="s">
        <v>25</v>
      </c>
      <c r="E871">
        <v>23</v>
      </c>
      <c r="F871">
        <v>16</v>
      </c>
      <c r="G871">
        <v>368</v>
      </c>
      <c r="H871">
        <v>0.11</v>
      </c>
      <c r="I871">
        <v>40.479999999999997</v>
      </c>
      <c r="J871">
        <v>328</v>
      </c>
      <c r="K871" t="s">
        <v>36</v>
      </c>
    </row>
    <row r="872" spans="1:11" x14ac:dyDescent="0.3">
      <c r="A872" t="s">
        <v>903</v>
      </c>
      <c r="B872" s="1">
        <v>43304</v>
      </c>
      <c r="C872" t="s">
        <v>12</v>
      </c>
      <c r="D872" t="s">
        <v>13</v>
      </c>
      <c r="E872">
        <v>6</v>
      </c>
      <c r="F872">
        <v>80</v>
      </c>
      <c r="G872">
        <v>480</v>
      </c>
      <c r="H872">
        <v>0.01</v>
      </c>
      <c r="I872">
        <v>4.8</v>
      </c>
      <c r="J872">
        <v>475</v>
      </c>
      <c r="K872" t="s">
        <v>38</v>
      </c>
    </row>
    <row r="873" spans="1:11" x14ac:dyDescent="0.3">
      <c r="A873" t="s">
        <v>904</v>
      </c>
      <c r="B873" s="1">
        <v>43304</v>
      </c>
      <c r="C873" t="s">
        <v>31</v>
      </c>
      <c r="D873" t="s">
        <v>13</v>
      </c>
      <c r="E873">
        <v>7</v>
      </c>
      <c r="F873">
        <v>16</v>
      </c>
      <c r="G873">
        <v>112</v>
      </c>
      <c r="H873">
        <v>0.12</v>
      </c>
      <c r="I873">
        <v>13.44</v>
      </c>
      <c r="J873">
        <v>99</v>
      </c>
      <c r="K873" t="s">
        <v>40</v>
      </c>
    </row>
    <row r="874" spans="1:11" x14ac:dyDescent="0.3">
      <c r="A874" t="s">
        <v>905</v>
      </c>
      <c r="B874" s="1">
        <v>43304</v>
      </c>
      <c r="C874" t="s">
        <v>12</v>
      </c>
      <c r="D874" t="s">
        <v>17</v>
      </c>
      <c r="E874">
        <v>10</v>
      </c>
      <c r="F874">
        <v>80</v>
      </c>
      <c r="G874">
        <v>800</v>
      </c>
      <c r="H874">
        <v>0.11</v>
      </c>
      <c r="I874">
        <v>88</v>
      </c>
      <c r="J874">
        <v>712</v>
      </c>
      <c r="K874" t="s">
        <v>42</v>
      </c>
    </row>
    <row r="875" spans="1:11" x14ac:dyDescent="0.3">
      <c r="A875" t="s">
        <v>906</v>
      </c>
      <c r="B875" s="1">
        <v>43304</v>
      </c>
      <c r="C875" t="s">
        <v>20</v>
      </c>
      <c r="D875" t="s">
        <v>13</v>
      </c>
      <c r="E875">
        <v>9</v>
      </c>
      <c r="F875">
        <v>230</v>
      </c>
      <c r="G875">
        <v>2070</v>
      </c>
      <c r="H875">
        <v>7.0000000000000007E-2</v>
      </c>
      <c r="I875">
        <v>144.9</v>
      </c>
      <c r="J875">
        <v>1925</v>
      </c>
      <c r="K875" t="s">
        <v>44</v>
      </c>
    </row>
    <row r="876" spans="1:11" x14ac:dyDescent="0.3">
      <c r="A876" t="s">
        <v>907</v>
      </c>
      <c r="B876" s="1">
        <v>43305</v>
      </c>
      <c r="C876" t="s">
        <v>16</v>
      </c>
      <c r="D876" t="s">
        <v>17</v>
      </c>
      <c r="E876">
        <v>12</v>
      </c>
      <c r="F876">
        <v>40</v>
      </c>
      <c r="G876">
        <v>480</v>
      </c>
      <c r="H876">
        <v>0.1</v>
      </c>
      <c r="I876">
        <v>48</v>
      </c>
      <c r="J876">
        <v>432</v>
      </c>
      <c r="K876" t="s">
        <v>14</v>
      </c>
    </row>
    <row r="877" spans="1:11" x14ac:dyDescent="0.3">
      <c r="A877" t="s">
        <v>908</v>
      </c>
      <c r="B877" s="1">
        <v>43305</v>
      </c>
      <c r="C877" t="s">
        <v>31</v>
      </c>
      <c r="D877" t="s">
        <v>32</v>
      </c>
      <c r="E877">
        <v>17</v>
      </c>
      <c r="F877">
        <v>16</v>
      </c>
      <c r="G877">
        <v>272</v>
      </c>
      <c r="H877">
        <v>0.1</v>
      </c>
      <c r="I877">
        <v>27.200000000000003</v>
      </c>
      <c r="J877">
        <v>245</v>
      </c>
      <c r="K877" t="s">
        <v>18</v>
      </c>
    </row>
    <row r="878" spans="1:11" x14ac:dyDescent="0.3">
      <c r="A878" t="s">
        <v>909</v>
      </c>
      <c r="B878" s="1">
        <v>43305</v>
      </c>
      <c r="C878" t="s">
        <v>35</v>
      </c>
      <c r="D878" t="s">
        <v>25</v>
      </c>
      <c r="E878">
        <v>22</v>
      </c>
      <c r="F878">
        <v>150</v>
      </c>
      <c r="G878">
        <v>3300</v>
      </c>
      <c r="H878">
        <v>0.04</v>
      </c>
      <c r="I878">
        <v>132</v>
      </c>
      <c r="J878">
        <v>3168</v>
      </c>
      <c r="K878" t="s">
        <v>21</v>
      </c>
    </row>
    <row r="879" spans="1:11" x14ac:dyDescent="0.3">
      <c r="A879" t="s">
        <v>910</v>
      </c>
      <c r="B879" s="1">
        <v>43305</v>
      </c>
      <c r="C879" t="s">
        <v>35</v>
      </c>
      <c r="D879" t="s">
        <v>25</v>
      </c>
      <c r="E879">
        <v>11</v>
      </c>
      <c r="F879">
        <v>150</v>
      </c>
      <c r="G879">
        <v>1650</v>
      </c>
      <c r="H879">
        <v>0.05</v>
      </c>
      <c r="I879">
        <v>82.5</v>
      </c>
      <c r="J879">
        <v>1568</v>
      </c>
      <c r="K879" t="s">
        <v>23</v>
      </c>
    </row>
    <row r="880" spans="1:11" x14ac:dyDescent="0.3">
      <c r="A880" t="s">
        <v>911</v>
      </c>
      <c r="B880" s="1">
        <v>43305</v>
      </c>
      <c r="C880" t="s">
        <v>12</v>
      </c>
      <c r="D880" t="s">
        <v>32</v>
      </c>
      <c r="E880">
        <v>9</v>
      </c>
      <c r="F880">
        <v>80</v>
      </c>
      <c r="G880">
        <v>720</v>
      </c>
      <c r="H880">
        <v>0.02</v>
      </c>
      <c r="I880">
        <v>14.4</v>
      </c>
      <c r="J880">
        <v>706</v>
      </c>
      <c r="K880" t="s">
        <v>26</v>
      </c>
    </row>
    <row r="881" spans="1:11" x14ac:dyDescent="0.3">
      <c r="A881" t="s">
        <v>912</v>
      </c>
      <c r="B881" s="1">
        <v>43305</v>
      </c>
      <c r="C881" t="s">
        <v>12</v>
      </c>
      <c r="D881" t="s">
        <v>32</v>
      </c>
      <c r="E881">
        <v>13</v>
      </c>
      <c r="F881">
        <v>80</v>
      </c>
      <c r="G881">
        <v>1040</v>
      </c>
      <c r="H881">
        <v>0.05</v>
      </c>
      <c r="I881">
        <v>52</v>
      </c>
      <c r="J881">
        <v>988</v>
      </c>
      <c r="K881" t="s">
        <v>29</v>
      </c>
    </row>
    <row r="882" spans="1:11" x14ac:dyDescent="0.3">
      <c r="A882" t="s">
        <v>913</v>
      </c>
      <c r="B882" s="1">
        <v>43305</v>
      </c>
      <c r="C882" t="s">
        <v>16</v>
      </c>
      <c r="D882" t="s">
        <v>32</v>
      </c>
      <c r="E882">
        <v>20</v>
      </c>
      <c r="F882">
        <v>40</v>
      </c>
      <c r="G882">
        <v>800</v>
      </c>
      <c r="H882">
        <v>0.1</v>
      </c>
      <c r="I882">
        <v>80</v>
      </c>
      <c r="J882">
        <v>720</v>
      </c>
      <c r="K882" t="s">
        <v>18</v>
      </c>
    </row>
    <row r="883" spans="1:11" x14ac:dyDescent="0.3">
      <c r="A883" t="s">
        <v>914</v>
      </c>
      <c r="B883" s="1">
        <v>43305</v>
      </c>
      <c r="C883" t="s">
        <v>16</v>
      </c>
      <c r="D883" t="s">
        <v>17</v>
      </c>
      <c r="E883">
        <v>15</v>
      </c>
      <c r="F883">
        <v>40</v>
      </c>
      <c r="G883">
        <v>600</v>
      </c>
      <c r="H883">
        <v>0.02</v>
      </c>
      <c r="I883">
        <v>12</v>
      </c>
      <c r="J883">
        <v>588</v>
      </c>
      <c r="K883" t="s">
        <v>21</v>
      </c>
    </row>
    <row r="884" spans="1:11" x14ac:dyDescent="0.3">
      <c r="A884" t="s">
        <v>915</v>
      </c>
      <c r="B884" s="1">
        <v>43306</v>
      </c>
      <c r="C884" t="s">
        <v>35</v>
      </c>
      <c r="D884" t="s">
        <v>32</v>
      </c>
      <c r="E884">
        <v>15</v>
      </c>
      <c r="F884">
        <v>150</v>
      </c>
      <c r="G884">
        <v>2250</v>
      </c>
      <c r="H884">
        <v>7.0000000000000007E-2</v>
      </c>
      <c r="I884">
        <v>157.50000000000003</v>
      </c>
      <c r="J884">
        <v>2092</v>
      </c>
      <c r="K884" t="s">
        <v>23</v>
      </c>
    </row>
    <row r="885" spans="1:11" x14ac:dyDescent="0.3">
      <c r="A885" t="s">
        <v>916</v>
      </c>
      <c r="B885" s="1">
        <v>43306</v>
      </c>
      <c r="C885" t="s">
        <v>12</v>
      </c>
      <c r="D885" t="s">
        <v>32</v>
      </c>
      <c r="E885">
        <v>16</v>
      </c>
      <c r="F885">
        <v>80</v>
      </c>
      <c r="G885">
        <v>1280</v>
      </c>
      <c r="H885">
        <v>0.09</v>
      </c>
      <c r="I885">
        <v>115.19999999999999</v>
      </c>
      <c r="J885">
        <v>1165</v>
      </c>
      <c r="K885" t="s">
        <v>26</v>
      </c>
    </row>
    <row r="886" spans="1:11" x14ac:dyDescent="0.3">
      <c r="A886" t="s">
        <v>917</v>
      </c>
      <c r="B886" s="1">
        <v>43306</v>
      </c>
      <c r="C886" t="s">
        <v>20</v>
      </c>
      <c r="D886" t="s">
        <v>13</v>
      </c>
      <c r="E886">
        <v>16</v>
      </c>
      <c r="F886">
        <v>230</v>
      </c>
      <c r="G886">
        <v>3680</v>
      </c>
      <c r="H886">
        <v>7.0000000000000007E-2</v>
      </c>
      <c r="I886">
        <v>257.60000000000002</v>
      </c>
      <c r="J886">
        <v>3422</v>
      </c>
      <c r="K886" t="s">
        <v>29</v>
      </c>
    </row>
    <row r="887" spans="1:11" x14ac:dyDescent="0.3">
      <c r="A887" t="s">
        <v>918</v>
      </c>
      <c r="B887" s="1">
        <v>43306</v>
      </c>
      <c r="C887" t="s">
        <v>12</v>
      </c>
      <c r="D887" t="s">
        <v>17</v>
      </c>
      <c r="E887">
        <v>14</v>
      </c>
      <c r="F887">
        <v>80</v>
      </c>
      <c r="G887">
        <v>1120</v>
      </c>
      <c r="H887">
        <v>0.11</v>
      </c>
      <c r="I887">
        <v>123.2</v>
      </c>
      <c r="J887">
        <v>997</v>
      </c>
      <c r="K887" t="s">
        <v>33</v>
      </c>
    </row>
    <row r="888" spans="1:11" x14ac:dyDescent="0.3">
      <c r="A888" t="s">
        <v>919</v>
      </c>
      <c r="B888" s="1">
        <v>43306</v>
      </c>
      <c r="C888" t="s">
        <v>12</v>
      </c>
      <c r="D888" t="s">
        <v>32</v>
      </c>
      <c r="E888">
        <v>17</v>
      </c>
      <c r="F888">
        <v>80</v>
      </c>
      <c r="G888">
        <v>1360</v>
      </c>
      <c r="H888">
        <v>7.0000000000000007E-2</v>
      </c>
      <c r="I888">
        <v>95.2</v>
      </c>
      <c r="J888">
        <v>1265</v>
      </c>
      <c r="K888" t="s">
        <v>36</v>
      </c>
    </row>
    <row r="889" spans="1:11" x14ac:dyDescent="0.3">
      <c r="A889" t="s">
        <v>920</v>
      </c>
      <c r="B889" s="1">
        <v>43306</v>
      </c>
      <c r="C889" t="s">
        <v>12</v>
      </c>
      <c r="D889" t="s">
        <v>25</v>
      </c>
      <c r="E889">
        <v>16</v>
      </c>
      <c r="F889">
        <v>80</v>
      </c>
      <c r="G889">
        <v>1280</v>
      </c>
      <c r="H889">
        <v>0.02</v>
      </c>
      <c r="I889">
        <v>25.6</v>
      </c>
      <c r="J889">
        <v>1254</v>
      </c>
      <c r="K889" t="s">
        <v>38</v>
      </c>
    </row>
    <row r="890" spans="1:11" x14ac:dyDescent="0.3">
      <c r="A890" t="s">
        <v>921</v>
      </c>
      <c r="B890" s="1">
        <v>43306</v>
      </c>
      <c r="C890" t="s">
        <v>31</v>
      </c>
      <c r="D890" t="s">
        <v>13</v>
      </c>
      <c r="E890">
        <v>21</v>
      </c>
      <c r="F890">
        <v>16</v>
      </c>
      <c r="G890">
        <v>336</v>
      </c>
      <c r="H890">
        <v>0.09</v>
      </c>
      <c r="I890">
        <v>30.24</v>
      </c>
      <c r="J890">
        <v>306</v>
      </c>
      <c r="K890" t="s">
        <v>40</v>
      </c>
    </row>
    <row r="891" spans="1:11" x14ac:dyDescent="0.3">
      <c r="A891" t="s">
        <v>922</v>
      </c>
      <c r="B891" s="1">
        <v>43306</v>
      </c>
      <c r="C891" t="s">
        <v>35</v>
      </c>
      <c r="D891" t="s">
        <v>13</v>
      </c>
      <c r="E891">
        <v>9</v>
      </c>
      <c r="F891">
        <v>150</v>
      </c>
      <c r="G891">
        <v>1350</v>
      </c>
      <c r="H891">
        <v>0.1</v>
      </c>
      <c r="I891">
        <v>135</v>
      </c>
      <c r="J891">
        <v>1215</v>
      </c>
      <c r="K891" t="s">
        <v>42</v>
      </c>
    </row>
    <row r="892" spans="1:11" x14ac:dyDescent="0.3">
      <c r="A892" t="s">
        <v>923</v>
      </c>
      <c r="B892" s="1">
        <v>43306</v>
      </c>
      <c r="C892" t="s">
        <v>35</v>
      </c>
      <c r="D892" t="s">
        <v>28</v>
      </c>
      <c r="E892">
        <v>3</v>
      </c>
      <c r="F892">
        <v>150</v>
      </c>
      <c r="G892">
        <v>450</v>
      </c>
      <c r="H892">
        <v>0.01</v>
      </c>
      <c r="I892">
        <v>4.5</v>
      </c>
      <c r="J892">
        <v>446</v>
      </c>
      <c r="K892" t="s">
        <v>44</v>
      </c>
    </row>
    <row r="893" spans="1:11" x14ac:dyDescent="0.3">
      <c r="A893" t="s">
        <v>924</v>
      </c>
      <c r="B893" s="1">
        <v>43307</v>
      </c>
      <c r="C893" t="s">
        <v>12</v>
      </c>
      <c r="D893" t="s">
        <v>17</v>
      </c>
      <c r="E893">
        <v>14</v>
      </c>
      <c r="F893">
        <v>80</v>
      </c>
      <c r="G893">
        <v>1120</v>
      </c>
      <c r="H893">
        <v>0.06</v>
      </c>
      <c r="I893">
        <v>67.2</v>
      </c>
      <c r="J893">
        <v>1053</v>
      </c>
      <c r="K893" t="s">
        <v>14</v>
      </c>
    </row>
    <row r="894" spans="1:11" x14ac:dyDescent="0.3">
      <c r="A894" t="s">
        <v>925</v>
      </c>
      <c r="B894" s="1">
        <v>43307</v>
      </c>
      <c r="C894" t="s">
        <v>35</v>
      </c>
      <c r="D894" t="s">
        <v>32</v>
      </c>
      <c r="E894">
        <v>4</v>
      </c>
      <c r="F894">
        <v>150</v>
      </c>
      <c r="G894">
        <v>600</v>
      </c>
      <c r="H894">
        <v>0.05</v>
      </c>
      <c r="I894">
        <v>30</v>
      </c>
      <c r="J894">
        <v>570</v>
      </c>
      <c r="K894" t="s">
        <v>18</v>
      </c>
    </row>
    <row r="895" spans="1:11" x14ac:dyDescent="0.3">
      <c r="A895" t="s">
        <v>926</v>
      </c>
      <c r="B895" s="1">
        <v>43307</v>
      </c>
      <c r="C895" t="s">
        <v>31</v>
      </c>
      <c r="D895" t="s">
        <v>17</v>
      </c>
      <c r="E895">
        <v>20</v>
      </c>
      <c r="F895">
        <v>16</v>
      </c>
      <c r="G895">
        <v>320</v>
      </c>
      <c r="H895">
        <v>0.06</v>
      </c>
      <c r="I895">
        <v>19.2</v>
      </c>
      <c r="J895">
        <v>301</v>
      </c>
      <c r="K895" t="s">
        <v>21</v>
      </c>
    </row>
    <row r="896" spans="1:11" x14ac:dyDescent="0.3">
      <c r="A896" t="s">
        <v>927</v>
      </c>
      <c r="B896" s="1">
        <v>43307</v>
      </c>
      <c r="C896" t="s">
        <v>20</v>
      </c>
      <c r="D896" t="s">
        <v>25</v>
      </c>
      <c r="E896">
        <v>7</v>
      </c>
      <c r="F896">
        <v>230</v>
      </c>
      <c r="G896">
        <v>1610</v>
      </c>
      <c r="H896">
        <v>0.01</v>
      </c>
      <c r="I896">
        <v>16.100000000000001</v>
      </c>
      <c r="J896">
        <v>1594</v>
      </c>
      <c r="K896" t="s">
        <v>23</v>
      </c>
    </row>
    <row r="897" spans="1:11" x14ac:dyDescent="0.3">
      <c r="A897" t="s">
        <v>928</v>
      </c>
      <c r="B897" s="1">
        <v>43307</v>
      </c>
      <c r="C897" t="s">
        <v>12</v>
      </c>
      <c r="D897" t="s">
        <v>17</v>
      </c>
      <c r="E897">
        <v>9</v>
      </c>
      <c r="F897">
        <v>80</v>
      </c>
      <c r="G897">
        <v>720</v>
      </c>
      <c r="H897">
        <v>0.03</v>
      </c>
      <c r="I897">
        <v>21.599999999999998</v>
      </c>
      <c r="J897">
        <v>698</v>
      </c>
      <c r="K897" t="s">
        <v>26</v>
      </c>
    </row>
    <row r="898" spans="1:11" x14ac:dyDescent="0.3">
      <c r="A898" t="s">
        <v>929</v>
      </c>
      <c r="B898" s="1">
        <v>43307</v>
      </c>
      <c r="C898" t="s">
        <v>16</v>
      </c>
      <c r="D898" t="s">
        <v>28</v>
      </c>
      <c r="E898">
        <v>4</v>
      </c>
      <c r="F898">
        <v>40</v>
      </c>
      <c r="G898">
        <v>160</v>
      </c>
      <c r="H898">
        <v>0.05</v>
      </c>
      <c r="I898">
        <v>8</v>
      </c>
      <c r="J898">
        <v>152</v>
      </c>
      <c r="K898" t="s">
        <v>29</v>
      </c>
    </row>
    <row r="899" spans="1:11" x14ac:dyDescent="0.3">
      <c r="A899" t="s">
        <v>930</v>
      </c>
      <c r="B899" s="1">
        <v>43307</v>
      </c>
      <c r="C899" t="s">
        <v>12</v>
      </c>
      <c r="D899" t="s">
        <v>13</v>
      </c>
      <c r="E899">
        <v>6</v>
      </c>
      <c r="F899">
        <v>80</v>
      </c>
      <c r="G899">
        <v>480</v>
      </c>
      <c r="H899">
        <v>7.0000000000000007E-2</v>
      </c>
      <c r="I899">
        <v>33.6</v>
      </c>
      <c r="J899">
        <v>446</v>
      </c>
      <c r="K899" t="s">
        <v>18</v>
      </c>
    </row>
    <row r="900" spans="1:11" x14ac:dyDescent="0.3">
      <c r="A900" t="s">
        <v>931</v>
      </c>
      <c r="B900" s="1">
        <v>43307</v>
      </c>
      <c r="C900" t="s">
        <v>31</v>
      </c>
      <c r="D900" t="s">
        <v>25</v>
      </c>
      <c r="E900">
        <v>8</v>
      </c>
      <c r="F900">
        <v>16</v>
      </c>
      <c r="G900">
        <v>128</v>
      </c>
      <c r="H900">
        <v>0.03</v>
      </c>
      <c r="I900">
        <v>3.84</v>
      </c>
      <c r="J900">
        <v>124</v>
      </c>
      <c r="K900" t="s">
        <v>21</v>
      </c>
    </row>
    <row r="901" spans="1:11" x14ac:dyDescent="0.3">
      <c r="A901" t="s">
        <v>932</v>
      </c>
      <c r="B901" s="1">
        <v>43307</v>
      </c>
      <c r="C901" t="s">
        <v>31</v>
      </c>
      <c r="D901" t="s">
        <v>13</v>
      </c>
      <c r="E901">
        <v>10</v>
      </c>
      <c r="F901">
        <v>16</v>
      </c>
      <c r="G901">
        <v>160</v>
      </c>
      <c r="H901">
        <v>0.08</v>
      </c>
      <c r="I901">
        <v>12.8</v>
      </c>
      <c r="J901">
        <v>147</v>
      </c>
      <c r="K901" t="s">
        <v>23</v>
      </c>
    </row>
    <row r="902" spans="1:11" x14ac:dyDescent="0.3">
      <c r="A902" t="s">
        <v>933</v>
      </c>
      <c r="B902" s="1">
        <v>43307</v>
      </c>
      <c r="C902" t="s">
        <v>31</v>
      </c>
      <c r="D902" t="s">
        <v>28</v>
      </c>
      <c r="E902">
        <v>22</v>
      </c>
      <c r="F902">
        <v>16</v>
      </c>
      <c r="G902">
        <v>352</v>
      </c>
      <c r="H902">
        <v>0.03</v>
      </c>
      <c r="I902">
        <v>10.559999999999999</v>
      </c>
      <c r="J902">
        <v>341</v>
      </c>
      <c r="K902" t="s">
        <v>26</v>
      </c>
    </row>
    <row r="903" spans="1:11" x14ac:dyDescent="0.3">
      <c r="A903" t="s">
        <v>934</v>
      </c>
      <c r="B903" s="1">
        <v>43307</v>
      </c>
      <c r="C903" t="s">
        <v>12</v>
      </c>
      <c r="D903" t="s">
        <v>28</v>
      </c>
      <c r="E903">
        <v>11</v>
      </c>
      <c r="F903">
        <v>80</v>
      </c>
      <c r="G903">
        <v>880</v>
      </c>
      <c r="H903">
        <v>0.01</v>
      </c>
      <c r="I903">
        <v>8.8000000000000007</v>
      </c>
      <c r="J903">
        <v>871</v>
      </c>
      <c r="K903" t="s">
        <v>29</v>
      </c>
    </row>
    <row r="904" spans="1:11" x14ac:dyDescent="0.3">
      <c r="A904" t="s">
        <v>935</v>
      </c>
      <c r="B904" s="1">
        <v>43307</v>
      </c>
      <c r="C904" t="s">
        <v>31</v>
      </c>
      <c r="D904" t="s">
        <v>28</v>
      </c>
      <c r="E904">
        <v>7</v>
      </c>
      <c r="F904">
        <v>16</v>
      </c>
      <c r="G904">
        <v>112</v>
      </c>
      <c r="H904">
        <v>0.08</v>
      </c>
      <c r="I904">
        <v>8.9600000000000009</v>
      </c>
      <c r="J904">
        <v>103</v>
      </c>
      <c r="K904" t="s">
        <v>33</v>
      </c>
    </row>
    <row r="905" spans="1:11" x14ac:dyDescent="0.3">
      <c r="A905" t="s">
        <v>936</v>
      </c>
      <c r="B905" s="1">
        <v>43308</v>
      </c>
      <c r="C905" t="s">
        <v>31</v>
      </c>
      <c r="D905" t="s">
        <v>25</v>
      </c>
      <c r="E905">
        <v>11</v>
      </c>
      <c r="F905">
        <v>16</v>
      </c>
      <c r="G905">
        <v>176</v>
      </c>
      <c r="H905">
        <v>0.12</v>
      </c>
      <c r="I905">
        <v>21.119999999999997</v>
      </c>
      <c r="J905">
        <v>155</v>
      </c>
      <c r="K905" t="s">
        <v>36</v>
      </c>
    </row>
    <row r="906" spans="1:11" x14ac:dyDescent="0.3">
      <c r="A906" t="s">
        <v>937</v>
      </c>
      <c r="B906" s="1">
        <v>43308</v>
      </c>
      <c r="C906" t="s">
        <v>16</v>
      </c>
      <c r="D906" t="s">
        <v>32</v>
      </c>
      <c r="E906">
        <v>7</v>
      </c>
      <c r="F906">
        <v>40</v>
      </c>
      <c r="G906">
        <v>280</v>
      </c>
      <c r="H906">
        <v>0.05</v>
      </c>
      <c r="I906">
        <v>14</v>
      </c>
      <c r="J906">
        <v>266</v>
      </c>
      <c r="K906" t="s">
        <v>38</v>
      </c>
    </row>
    <row r="907" spans="1:11" x14ac:dyDescent="0.3">
      <c r="A907" t="s">
        <v>938</v>
      </c>
      <c r="B907" s="1">
        <v>43308</v>
      </c>
      <c r="C907" t="s">
        <v>35</v>
      </c>
      <c r="D907" t="s">
        <v>25</v>
      </c>
      <c r="E907">
        <v>9</v>
      </c>
      <c r="F907">
        <v>150</v>
      </c>
      <c r="G907">
        <v>1350</v>
      </c>
      <c r="H907">
        <v>0.06</v>
      </c>
      <c r="I907">
        <v>81</v>
      </c>
      <c r="J907">
        <v>1269</v>
      </c>
      <c r="K907" t="s">
        <v>40</v>
      </c>
    </row>
    <row r="908" spans="1:11" x14ac:dyDescent="0.3">
      <c r="A908" t="s">
        <v>939</v>
      </c>
      <c r="B908" s="1">
        <v>43308</v>
      </c>
      <c r="C908" t="s">
        <v>20</v>
      </c>
      <c r="D908" t="s">
        <v>13</v>
      </c>
      <c r="E908">
        <v>20</v>
      </c>
      <c r="F908">
        <v>230</v>
      </c>
      <c r="G908">
        <v>4600</v>
      </c>
      <c r="H908">
        <v>0.04</v>
      </c>
      <c r="I908">
        <v>184</v>
      </c>
      <c r="J908">
        <v>4416</v>
      </c>
      <c r="K908" t="s">
        <v>42</v>
      </c>
    </row>
    <row r="909" spans="1:11" x14ac:dyDescent="0.3">
      <c r="A909" t="s">
        <v>940</v>
      </c>
      <c r="B909" s="1">
        <v>43308</v>
      </c>
      <c r="C909" t="s">
        <v>35</v>
      </c>
      <c r="D909" t="s">
        <v>25</v>
      </c>
      <c r="E909">
        <v>9</v>
      </c>
      <c r="F909">
        <v>150</v>
      </c>
      <c r="G909">
        <v>1350</v>
      </c>
      <c r="H909">
        <v>0.02</v>
      </c>
      <c r="I909">
        <v>27</v>
      </c>
      <c r="J909">
        <v>1323</v>
      </c>
      <c r="K909" t="s">
        <v>44</v>
      </c>
    </row>
    <row r="910" spans="1:11" x14ac:dyDescent="0.3">
      <c r="A910" t="s">
        <v>941</v>
      </c>
      <c r="B910" s="1">
        <v>43308</v>
      </c>
      <c r="C910" t="s">
        <v>12</v>
      </c>
      <c r="D910" t="s">
        <v>17</v>
      </c>
      <c r="E910">
        <v>5</v>
      </c>
      <c r="F910">
        <v>80</v>
      </c>
      <c r="G910">
        <v>400</v>
      </c>
      <c r="H910">
        <v>7.0000000000000007E-2</v>
      </c>
      <c r="I910">
        <v>28.000000000000004</v>
      </c>
      <c r="J910">
        <v>372</v>
      </c>
      <c r="K910" t="s">
        <v>14</v>
      </c>
    </row>
    <row r="911" spans="1:11" x14ac:dyDescent="0.3">
      <c r="A911" t="s">
        <v>942</v>
      </c>
      <c r="B911" s="1">
        <v>43308</v>
      </c>
      <c r="C911" t="s">
        <v>35</v>
      </c>
      <c r="D911" t="s">
        <v>25</v>
      </c>
      <c r="E911">
        <v>20</v>
      </c>
      <c r="F911">
        <v>150</v>
      </c>
      <c r="G911">
        <v>3000</v>
      </c>
      <c r="H911">
        <v>0.04</v>
      </c>
      <c r="I911">
        <v>120</v>
      </c>
      <c r="J911">
        <v>2880</v>
      </c>
      <c r="K911" t="s">
        <v>18</v>
      </c>
    </row>
    <row r="912" spans="1:11" x14ac:dyDescent="0.3">
      <c r="A912" t="s">
        <v>943</v>
      </c>
      <c r="B912" s="1">
        <v>43308</v>
      </c>
      <c r="C912" t="s">
        <v>35</v>
      </c>
      <c r="D912" t="s">
        <v>28</v>
      </c>
      <c r="E912">
        <v>15</v>
      </c>
      <c r="F912">
        <v>150</v>
      </c>
      <c r="G912">
        <v>2250</v>
      </c>
      <c r="H912">
        <v>0.05</v>
      </c>
      <c r="I912">
        <v>112.5</v>
      </c>
      <c r="J912">
        <v>2138</v>
      </c>
      <c r="K912" t="s">
        <v>21</v>
      </c>
    </row>
    <row r="913" spans="1:11" x14ac:dyDescent="0.3">
      <c r="A913" t="s">
        <v>944</v>
      </c>
      <c r="B913" s="1">
        <v>43308</v>
      </c>
      <c r="C913" t="s">
        <v>12</v>
      </c>
      <c r="D913" t="s">
        <v>13</v>
      </c>
      <c r="E913">
        <v>20</v>
      </c>
      <c r="F913">
        <v>80</v>
      </c>
      <c r="G913">
        <v>1600</v>
      </c>
      <c r="H913">
        <v>0.01</v>
      </c>
      <c r="I913">
        <v>16</v>
      </c>
      <c r="J913">
        <v>1584</v>
      </c>
      <c r="K913" t="s">
        <v>23</v>
      </c>
    </row>
    <row r="914" spans="1:11" x14ac:dyDescent="0.3">
      <c r="A914" t="s">
        <v>945</v>
      </c>
      <c r="B914" s="1">
        <v>43309</v>
      </c>
      <c r="C914" t="s">
        <v>20</v>
      </c>
      <c r="D914" t="s">
        <v>17</v>
      </c>
      <c r="E914">
        <v>12</v>
      </c>
      <c r="F914">
        <v>230</v>
      </c>
      <c r="G914">
        <v>2760</v>
      </c>
      <c r="H914">
        <v>0.03</v>
      </c>
      <c r="I914">
        <v>82.8</v>
      </c>
      <c r="J914">
        <v>2677</v>
      </c>
      <c r="K914" t="s">
        <v>26</v>
      </c>
    </row>
    <row r="915" spans="1:11" x14ac:dyDescent="0.3">
      <c r="A915" t="s">
        <v>946</v>
      </c>
      <c r="B915" s="1">
        <v>43309</v>
      </c>
      <c r="C915" t="s">
        <v>16</v>
      </c>
      <c r="D915" t="s">
        <v>32</v>
      </c>
      <c r="E915">
        <v>20</v>
      </c>
      <c r="F915">
        <v>40</v>
      </c>
      <c r="G915">
        <v>800</v>
      </c>
      <c r="H915">
        <v>0.05</v>
      </c>
      <c r="I915">
        <v>40</v>
      </c>
      <c r="J915">
        <v>760</v>
      </c>
      <c r="K915" t="s">
        <v>29</v>
      </c>
    </row>
    <row r="916" spans="1:11" x14ac:dyDescent="0.3">
      <c r="A916" t="s">
        <v>947</v>
      </c>
      <c r="B916" s="1">
        <v>43309</v>
      </c>
      <c r="C916" t="s">
        <v>16</v>
      </c>
      <c r="D916" t="s">
        <v>32</v>
      </c>
      <c r="E916">
        <v>4</v>
      </c>
      <c r="F916">
        <v>40</v>
      </c>
      <c r="G916">
        <v>160</v>
      </c>
      <c r="H916">
        <v>0.09</v>
      </c>
      <c r="I916">
        <v>14.399999999999999</v>
      </c>
      <c r="J916">
        <v>146</v>
      </c>
      <c r="K916" t="s">
        <v>18</v>
      </c>
    </row>
    <row r="917" spans="1:11" x14ac:dyDescent="0.3">
      <c r="A917" t="s">
        <v>948</v>
      </c>
      <c r="B917" s="1">
        <v>43309</v>
      </c>
      <c r="C917" t="s">
        <v>31</v>
      </c>
      <c r="D917" t="s">
        <v>25</v>
      </c>
      <c r="E917">
        <v>6</v>
      </c>
      <c r="F917">
        <v>16</v>
      </c>
      <c r="G917">
        <v>96</v>
      </c>
      <c r="H917">
        <v>7.0000000000000007E-2</v>
      </c>
      <c r="I917">
        <v>6.7200000000000006</v>
      </c>
      <c r="J917">
        <v>89</v>
      </c>
      <c r="K917" t="s">
        <v>21</v>
      </c>
    </row>
    <row r="918" spans="1:11" x14ac:dyDescent="0.3">
      <c r="A918" t="s">
        <v>949</v>
      </c>
      <c r="B918" s="1">
        <v>43309</v>
      </c>
      <c r="C918" t="s">
        <v>12</v>
      </c>
      <c r="D918" t="s">
        <v>17</v>
      </c>
      <c r="E918">
        <v>13</v>
      </c>
      <c r="F918">
        <v>80</v>
      </c>
      <c r="G918">
        <v>1040</v>
      </c>
      <c r="H918">
        <v>0.06</v>
      </c>
      <c r="I918">
        <v>62.4</v>
      </c>
      <c r="J918">
        <v>978</v>
      </c>
      <c r="K918" t="s">
        <v>23</v>
      </c>
    </row>
    <row r="919" spans="1:11" x14ac:dyDescent="0.3">
      <c r="A919" t="s">
        <v>950</v>
      </c>
      <c r="B919" s="1">
        <v>43309</v>
      </c>
      <c r="C919" t="s">
        <v>35</v>
      </c>
      <c r="D919" t="s">
        <v>13</v>
      </c>
      <c r="E919">
        <v>4</v>
      </c>
      <c r="F919">
        <v>150</v>
      </c>
      <c r="G919">
        <v>600</v>
      </c>
      <c r="H919">
        <v>0.1</v>
      </c>
      <c r="I919">
        <v>60</v>
      </c>
      <c r="J919">
        <v>540</v>
      </c>
      <c r="K919" t="s">
        <v>26</v>
      </c>
    </row>
    <row r="920" spans="1:11" x14ac:dyDescent="0.3">
      <c r="A920" t="s">
        <v>951</v>
      </c>
      <c r="B920" s="1">
        <v>43309</v>
      </c>
      <c r="C920" t="s">
        <v>35</v>
      </c>
      <c r="D920" t="s">
        <v>28</v>
      </c>
      <c r="E920">
        <v>9</v>
      </c>
      <c r="F920">
        <v>150</v>
      </c>
      <c r="G920">
        <v>1350</v>
      </c>
      <c r="H920">
        <v>0.02</v>
      </c>
      <c r="I920">
        <v>27</v>
      </c>
      <c r="J920">
        <v>1323</v>
      </c>
      <c r="K920" t="s">
        <v>29</v>
      </c>
    </row>
    <row r="921" spans="1:11" x14ac:dyDescent="0.3">
      <c r="A921" t="s">
        <v>952</v>
      </c>
      <c r="B921" s="1">
        <v>43309</v>
      </c>
      <c r="C921" t="s">
        <v>35</v>
      </c>
      <c r="D921" t="s">
        <v>13</v>
      </c>
      <c r="E921">
        <v>11</v>
      </c>
      <c r="F921">
        <v>150</v>
      </c>
      <c r="G921">
        <v>1650</v>
      </c>
      <c r="H921">
        <v>0.05</v>
      </c>
      <c r="I921">
        <v>82.5</v>
      </c>
      <c r="J921">
        <v>1568</v>
      </c>
      <c r="K921" t="s">
        <v>33</v>
      </c>
    </row>
    <row r="922" spans="1:11" x14ac:dyDescent="0.3">
      <c r="A922" t="s">
        <v>953</v>
      </c>
      <c r="B922" s="1">
        <v>43309</v>
      </c>
      <c r="C922" t="s">
        <v>31</v>
      </c>
      <c r="D922" t="s">
        <v>25</v>
      </c>
      <c r="E922">
        <v>6</v>
      </c>
      <c r="F922">
        <v>16</v>
      </c>
      <c r="G922">
        <v>96</v>
      </c>
      <c r="H922">
        <v>0.06</v>
      </c>
      <c r="I922">
        <v>5.76</v>
      </c>
      <c r="J922">
        <v>90</v>
      </c>
      <c r="K922" t="s">
        <v>36</v>
      </c>
    </row>
    <row r="923" spans="1:11" x14ac:dyDescent="0.3">
      <c r="A923" t="s">
        <v>954</v>
      </c>
      <c r="B923" s="1">
        <v>43310</v>
      </c>
      <c r="C923" t="s">
        <v>20</v>
      </c>
      <c r="D923" t="s">
        <v>25</v>
      </c>
      <c r="E923">
        <v>14</v>
      </c>
      <c r="F923">
        <v>230</v>
      </c>
      <c r="G923">
        <v>3220</v>
      </c>
      <c r="H923">
        <v>0.12</v>
      </c>
      <c r="I923">
        <v>386.4</v>
      </c>
      <c r="J923">
        <v>2834</v>
      </c>
      <c r="K923" t="s">
        <v>38</v>
      </c>
    </row>
    <row r="924" spans="1:11" x14ac:dyDescent="0.3">
      <c r="A924" t="s">
        <v>955</v>
      </c>
      <c r="B924" s="1">
        <v>43310</v>
      </c>
      <c r="C924" t="s">
        <v>12</v>
      </c>
      <c r="D924" t="s">
        <v>17</v>
      </c>
      <c r="E924">
        <v>15</v>
      </c>
      <c r="F924">
        <v>80</v>
      </c>
      <c r="G924">
        <v>1200</v>
      </c>
      <c r="H924">
        <v>0.12</v>
      </c>
      <c r="I924">
        <v>144</v>
      </c>
      <c r="J924">
        <v>1056</v>
      </c>
      <c r="K924" t="s">
        <v>40</v>
      </c>
    </row>
    <row r="925" spans="1:11" x14ac:dyDescent="0.3">
      <c r="A925" t="s">
        <v>956</v>
      </c>
      <c r="B925" s="1">
        <v>43310</v>
      </c>
      <c r="C925" t="s">
        <v>20</v>
      </c>
      <c r="D925" t="s">
        <v>28</v>
      </c>
      <c r="E925">
        <v>17</v>
      </c>
      <c r="F925">
        <v>230</v>
      </c>
      <c r="G925">
        <v>3910</v>
      </c>
      <c r="H925">
        <v>0.12</v>
      </c>
      <c r="I925">
        <v>469.2</v>
      </c>
      <c r="J925">
        <v>3441</v>
      </c>
      <c r="K925" t="s">
        <v>42</v>
      </c>
    </row>
    <row r="926" spans="1:11" x14ac:dyDescent="0.3">
      <c r="A926" t="s">
        <v>957</v>
      </c>
      <c r="B926" s="1">
        <v>43310</v>
      </c>
      <c r="C926" t="s">
        <v>35</v>
      </c>
      <c r="D926" t="s">
        <v>13</v>
      </c>
      <c r="E926">
        <v>5</v>
      </c>
      <c r="F926">
        <v>150</v>
      </c>
      <c r="G926">
        <v>750</v>
      </c>
      <c r="H926">
        <v>0.11</v>
      </c>
      <c r="I926">
        <v>82.5</v>
      </c>
      <c r="J926">
        <v>668</v>
      </c>
      <c r="K926" t="s">
        <v>44</v>
      </c>
    </row>
    <row r="927" spans="1:11" x14ac:dyDescent="0.3">
      <c r="A927" t="s">
        <v>958</v>
      </c>
      <c r="B927" s="1">
        <v>43310</v>
      </c>
      <c r="C927" t="s">
        <v>12</v>
      </c>
      <c r="D927" t="s">
        <v>32</v>
      </c>
      <c r="E927">
        <v>10</v>
      </c>
      <c r="F927">
        <v>80</v>
      </c>
      <c r="G927">
        <v>800</v>
      </c>
      <c r="H927">
        <v>0.06</v>
      </c>
      <c r="I927">
        <v>48</v>
      </c>
      <c r="J927">
        <v>752</v>
      </c>
      <c r="K927" t="s">
        <v>14</v>
      </c>
    </row>
    <row r="928" spans="1:11" x14ac:dyDescent="0.3">
      <c r="A928" t="s">
        <v>959</v>
      </c>
      <c r="B928" s="1">
        <v>43310</v>
      </c>
      <c r="C928" t="s">
        <v>12</v>
      </c>
      <c r="D928" t="s">
        <v>13</v>
      </c>
      <c r="E928">
        <v>9</v>
      </c>
      <c r="F928">
        <v>80</v>
      </c>
      <c r="G928">
        <v>720</v>
      </c>
      <c r="H928">
        <v>0.04</v>
      </c>
      <c r="I928">
        <v>28.8</v>
      </c>
      <c r="J928">
        <v>691</v>
      </c>
      <c r="K928" t="s">
        <v>18</v>
      </c>
    </row>
    <row r="929" spans="1:11" x14ac:dyDescent="0.3">
      <c r="A929" t="s">
        <v>960</v>
      </c>
      <c r="B929" s="1">
        <v>43310</v>
      </c>
      <c r="C929" t="s">
        <v>16</v>
      </c>
      <c r="D929" t="s">
        <v>32</v>
      </c>
      <c r="E929">
        <v>16</v>
      </c>
      <c r="F929">
        <v>40</v>
      </c>
      <c r="G929">
        <v>640</v>
      </c>
      <c r="H929">
        <v>0.09</v>
      </c>
      <c r="I929">
        <v>57.599999999999994</v>
      </c>
      <c r="J929">
        <v>582</v>
      </c>
      <c r="K929" t="s">
        <v>21</v>
      </c>
    </row>
    <row r="930" spans="1:11" x14ac:dyDescent="0.3">
      <c r="A930" t="s">
        <v>961</v>
      </c>
      <c r="B930" s="1">
        <v>43310</v>
      </c>
      <c r="C930" t="s">
        <v>20</v>
      </c>
      <c r="D930" t="s">
        <v>13</v>
      </c>
      <c r="E930">
        <v>7</v>
      </c>
      <c r="F930">
        <v>230</v>
      </c>
      <c r="G930">
        <v>1610</v>
      </c>
      <c r="H930">
        <v>0.08</v>
      </c>
      <c r="I930">
        <v>128.80000000000001</v>
      </c>
      <c r="J930">
        <v>1481</v>
      </c>
      <c r="K930" t="s">
        <v>23</v>
      </c>
    </row>
    <row r="931" spans="1:11" x14ac:dyDescent="0.3">
      <c r="A931" t="s">
        <v>962</v>
      </c>
      <c r="B931" s="1">
        <v>43310</v>
      </c>
      <c r="C931" t="s">
        <v>12</v>
      </c>
      <c r="D931" t="s">
        <v>28</v>
      </c>
      <c r="E931">
        <v>17</v>
      </c>
      <c r="F931">
        <v>80</v>
      </c>
      <c r="G931">
        <v>1360</v>
      </c>
      <c r="H931">
        <v>0.05</v>
      </c>
      <c r="I931">
        <v>68</v>
      </c>
      <c r="J931">
        <v>1292</v>
      </c>
      <c r="K931" t="s">
        <v>26</v>
      </c>
    </row>
    <row r="932" spans="1:11" x14ac:dyDescent="0.3">
      <c r="A932" t="s">
        <v>963</v>
      </c>
      <c r="B932" s="1">
        <v>43310</v>
      </c>
      <c r="C932" t="s">
        <v>20</v>
      </c>
      <c r="D932" t="s">
        <v>13</v>
      </c>
      <c r="E932">
        <v>11</v>
      </c>
      <c r="F932">
        <v>230</v>
      </c>
      <c r="G932">
        <v>2530</v>
      </c>
      <c r="H932">
        <v>0.02</v>
      </c>
      <c r="I932">
        <v>50.6</v>
      </c>
      <c r="J932">
        <v>2479</v>
      </c>
      <c r="K932" t="s">
        <v>29</v>
      </c>
    </row>
    <row r="933" spans="1:11" x14ac:dyDescent="0.3">
      <c r="A933" t="s">
        <v>964</v>
      </c>
      <c r="B933" s="1">
        <v>43311</v>
      </c>
      <c r="C933" t="s">
        <v>16</v>
      </c>
      <c r="D933" t="s">
        <v>13</v>
      </c>
      <c r="E933">
        <v>15</v>
      </c>
      <c r="F933">
        <v>40</v>
      </c>
      <c r="G933">
        <v>600</v>
      </c>
      <c r="H933">
        <v>0.06</v>
      </c>
      <c r="I933">
        <v>36</v>
      </c>
      <c r="J933">
        <v>564</v>
      </c>
      <c r="K933" t="s">
        <v>18</v>
      </c>
    </row>
    <row r="934" spans="1:11" x14ac:dyDescent="0.3">
      <c r="A934" t="s">
        <v>965</v>
      </c>
      <c r="B934" s="1">
        <v>43312</v>
      </c>
      <c r="C934" t="s">
        <v>20</v>
      </c>
      <c r="D934" t="s">
        <v>13</v>
      </c>
      <c r="E934">
        <v>7</v>
      </c>
      <c r="F934">
        <v>230</v>
      </c>
      <c r="G934">
        <v>1610</v>
      </c>
      <c r="H934">
        <v>0.02</v>
      </c>
      <c r="I934">
        <v>32.200000000000003</v>
      </c>
      <c r="J934">
        <v>1578</v>
      </c>
      <c r="K934" t="s">
        <v>21</v>
      </c>
    </row>
    <row r="935" spans="1:11" x14ac:dyDescent="0.3">
      <c r="A935" t="s">
        <v>966</v>
      </c>
      <c r="B935" s="1">
        <v>43312</v>
      </c>
      <c r="C935" t="s">
        <v>12</v>
      </c>
      <c r="D935" t="s">
        <v>25</v>
      </c>
      <c r="E935">
        <v>20</v>
      </c>
      <c r="F935">
        <v>80</v>
      </c>
      <c r="G935">
        <v>1600</v>
      </c>
      <c r="H935">
        <v>7.0000000000000007E-2</v>
      </c>
      <c r="I935">
        <v>112.00000000000001</v>
      </c>
      <c r="J935">
        <v>1488</v>
      </c>
      <c r="K935" t="s">
        <v>23</v>
      </c>
    </row>
    <row r="936" spans="1:11" x14ac:dyDescent="0.3">
      <c r="A936" t="s">
        <v>967</v>
      </c>
      <c r="B936" s="1">
        <v>43312</v>
      </c>
      <c r="C936" t="s">
        <v>12</v>
      </c>
      <c r="D936" t="s">
        <v>17</v>
      </c>
      <c r="E936">
        <v>3</v>
      </c>
      <c r="F936">
        <v>80</v>
      </c>
      <c r="G936">
        <v>240</v>
      </c>
      <c r="H936">
        <v>0.02</v>
      </c>
      <c r="I936">
        <v>4.8</v>
      </c>
      <c r="J936">
        <v>235</v>
      </c>
      <c r="K936" t="s">
        <v>26</v>
      </c>
    </row>
    <row r="937" spans="1:11" x14ac:dyDescent="0.3">
      <c r="A937" t="s">
        <v>968</v>
      </c>
      <c r="B937" s="1">
        <v>43312</v>
      </c>
      <c r="C937" t="s">
        <v>35</v>
      </c>
      <c r="D937" t="s">
        <v>25</v>
      </c>
      <c r="E937">
        <v>2</v>
      </c>
      <c r="F937">
        <v>150</v>
      </c>
      <c r="G937">
        <v>300</v>
      </c>
      <c r="H937">
        <v>0.02</v>
      </c>
      <c r="I937">
        <v>6</v>
      </c>
      <c r="J937">
        <v>294</v>
      </c>
      <c r="K937" t="s">
        <v>29</v>
      </c>
    </row>
    <row r="938" spans="1:11" x14ac:dyDescent="0.3">
      <c r="A938" t="s">
        <v>969</v>
      </c>
      <c r="B938" s="1">
        <v>43312</v>
      </c>
      <c r="C938" t="s">
        <v>35</v>
      </c>
      <c r="D938" t="s">
        <v>25</v>
      </c>
      <c r="E938">
        <v>22</v>
      </c>
      <c r="F938">
        <v>150</v>
      </c>
      <c r="G938">
        <v>3300</v>
      </c>
      <c r="H938">
        <v>0.09</v>
      </c>
      <c r="I938">
        <v>297</v>
      </c>
      <c r="J938">
        <v>3003</v>
      </c>
      <c r="K938" t="s">
        <v>33</v>
      </c>
    </row>
    <row r="939" spans="1:11" x14ac:dyDescent="0.3">
      <c r="A939" t="s">
        <v>970</v>
      </c>
      <c r="B939" s="1">
        <v>43312</v>
      </c>
      <c r="C939" t="s">
        <v>20</v>
      </c>
      <c r="D939" t="s">
        <v>13</v>
      </c>
      <c r="E939">
        <v>5</v>
      </c>
      <c r="F939">
        <v>230</v>
      </c>
      <c r="G939">
        <v>1150</v>
      </c>
      <c r="H939">
        <v>0.1</v>
      </c>
      <c r="I939">
        <v>115</v>
      </c>
      <c r="J939">
        <v>1035</v>
      </c>
      <c r="K939" t="s">
        <v>36</v>
      </c>
    </row>
    <row r="940" spans="1:11" x14ac:dyDescent="0.3">
      <c r="A940" t="s">
        <v>971</v>
      </c>
      <c r="B940" s="1">
        <v>43312</v>
      </c>
      <c r="C940" t="s">
        <v>31</v>
      </c>
      <c r="D940" t="s">
        <v>32</v>
      </c>
      <c r="E940">
        <v>12</v>
      </c>
      <c r="F940">
        <v>16</v>
      </c>
      <c r="G940">
        <v>192</v>
      </c>
      <c r="H940">
        <v>0.04</v>
      </c>
      <c r="I940">
        <v>7.68</v>
      </c>
      <c r="J940">
        <v>184</v>
      </c>
      <c r="K940" t="s">
        <v>38</v>
      </c>
    </row>
    <row r="941" spans="1:11" x14ac:dyDescent="0.3">
      <c r="A941" t="s">
        <v>972</v>
      </c>
      <c r="B941" s="1">
        <v>43312</v>
      </c>
      <c r="C941" t="s">
        <v>16</v>
      </c>
      <c r="D941" t="s">
        <v>28</v>
      </c>
      <c r="E941">
        <v>6</v>
      </c>
      <c r="F941">
        <v>40</v>
      </c>
      <c r="G941">
        <v>240</v>
      </c>
      <c r="H941">
        <v>7.0000000000000007E-2</v>
      </c>
      <c r="I941">
        <v>16.8</v>
      </c>
      <c r="J941">
        <v>223</v>
      </c>
      <c r="K941" t="s">
        <v>40</v>
      </c>
    </row>
    <row r="942" spans="1:11" x14ac:dyDescent="0.3">
      <c r="A942" t="s">
        <v>973</v>
      </c>
      <c r="B942" s="1">
        <v>43312</v>
      </c>
      <c r="C942" t="s">
        <v>31</v>
      </c>
      <c r="D942" t="s">
        <v>32</v>
      </c>
      <c r="E942">
        <v>15</v>
      </c>
      <c r="F942">
        <v>16</v>
      </c>
      <c r="G942">
        <v>240</v>
      </c>
      <c r="H942">
        <v>0.01</v>
      </c>
      <c r="I942">
        <v>2.4</v>
      </c>
      <c r="J942">
        <v>238</v>
      </c>
      <c r="K942" t="s">
        <v>42</v>
      </c>
    </row>
    <row r="943" spans="1:11" x14ac:dyDescent="0.3">
      <c r="A943" t="s">
        <v>974</v>
      </c>
      <c r="B943" s="1">
        <v>43282</v>
      </c>
      <c r="C943" t="s">
        <v>35</v>
      </c>
      <c r="D943" t="s">
        <v>32</v>
      </c>
      <c r="E943">
        <v>13</v>
      </c>
      <c r="F943">
        <v>150</v>
      </c>
      <c r="G943">
        <v>1950</v>
      </c>
      <c r="H943">
        <v>0.11</v>
      </c>
      <c r="I943">
        <v>214.5</v>
      </c>
      <c r="J943">
        <v>1736</v>
      </c>
      <c r="K943" t="s">
        <v>44</v>
      </c>
    </row>
    <row r="944" spans="1:11" x14ac:dyDescent="0.3">
      <c r="A944" t="s">
        <v>975</v>
      </c>
      <c r="B944" s="1">
        <v>43282</v>
      </c>
      <c r="C944" t="s">
        <v>16</v>
      </c>
      <c r="D944" t="s">
        <v>17</v>
      </c>
      <c r="E944">
        <v>8</v>
      </c>
      <c r="F944">
        <v>40</v>
      </c>
      <c r="G944">
        <v>320</v>
      </c>
      <c r="H944">
        <v>0.09</v>
      </c>
      <c r="I944">
        <v>28.799999999999997</v>
      </c>
      <c r="J944">
        <v>291</v>
      </c>
      <c r="K944" t="s">
        <v>14</v>
      </c>
    </row>
    <row r="945" spans="1:11" x14ac:dyDescent="0.3">
      <c r="A945" t="s">
        <v>976</v>
      </c>
      <c r="B945" s="1">
        <v>43282</v>
      </c>
      <c r="C945" t="s">
        <v>16</v>
      </c>
      <c r="D945" t="s">
        <v>28</v>
      </c>
      <c r="E945">
        <v>7</v>
      </c>
      <c r="F945">
        <v>40</v>
      </c>
      <c r="G945">
        <v>280</v>
      </c>
      <c r="H945">
        <v>7.0000000000000007E-2</v>
      </c>
      <c r="I945">
        <v>19.600000000000001</v>
      </c>
      <c r="J945">
        <v>260</v>
      </c>
      <c r="K945" t="s">
        <v>18</v>
      </c>
    </row>
    <row r="946" spans="1:11" x14ac:dyDescent="0.3">
      <c r="A946" t="s">
        <v>977</v>
      </c>
      <c r="B946" s="1">
        <v>43282</v>
      </c>
      <c r="C946" t="s">
        <v>16</v>
      </c>
      <c r="D946" t="s">
        <v>17</v>
      </c>
      <c r="E946">
        <v>18</v>
      </c>
      <c r="F946">
        <v>40</v>
      </c>
      <c r="G946">
        <v>720</v>
      </c>
      <c r="H946">
        <v>0.08</v>
      </c>
      <c r="I946">
        <v>57.6</v>
      </c>
      <c r="J946">
        <v>662</v>
      </c>
      <c r="K946" t="s">
        <v>21</v>
      </c>
    </row>
    <row r="947" spans="1:11" x14ac:dyDescent="0.3">
      <c r="A947" t="s">
        <v>978</v>
      </c>
      <c r="B947" s="1">
        <v>43282</v>
      </c>
      <c r="C947" t="s">
        <v>20</v>
      </c>
      <c r="D947" t="s">
        <v>28</v>
      </c>
      <c r="E947">
        <v>19</v>
      </c>
      <c r="F947">
        <v>230</v>
      </c>
      <c r="G947">
        <v>4370</v>
      </c>
      <c r="H947">
        <v>0.06</v>
      </c>
      <c r="I947">
        <v>262.2</v>
      </c>
      <c r="J947">
        <v>4108</v>
      </c>
      <c r="K947" t="s">
        <v>23</v>
      </c>
    </row>
    <row r="948" spans="1:11" x14ac:dyDescent="0.3">
      <c r="A948" t="s">
        <v>979</v>
      </c>
      <c r="B948" s="1">
        <v>43282</v>
      </c>
      <c r="C948" t="s">
        <v>35</v>
      </c>
      <c r="D948" t="s">
        <v>13</v>
      </c>
      <c r="E948">
        <v>4</v>
      </c>
      <c r="F948">
        <v>150</v>
      </c>
      <c r="G948">
        <v>600</v>
      </c>
      <c r="H948">
        <v>0.1</v>
      </c>
      <c r="I948">
        <v>60</v>
      </c>
      <c r="J948">
        <v>540</v>
      </c>
      <c r="K948" t="s">
        <v>26</v>
      </c>
    </row>
    <row r="949" spans="1:11" x14ac:dyDescent="0.3">
      <c r="A949" t="s">
        <v>980</v>
      </c>
      <c r="B949" s="1">
        <v>43283</v>
      </c>
      <c r="C949" t="s">
        <v>12</v>
      </c>
      <c r="D949" t="s">
        <v>32</v>
      </c>
      <c r="E949">
        <v>9</v>
      </c>
      <c r="F949">
        <v>80</v>
      </c>
      <c r="G949">
        <v>720</v>
      </c>
      <c r="H949">
        <v>0.06</v>
      </c>
      <c r="I949">
        <v>43.199999999999996</v>
      </c>
      <c r="J949">
        <v>677</v>
      </c>
      <c r="K949" t="s">
        <v>29</v>
      </c>
    </row>
    <row r="950" spans="1:11" x14ac:dyDescent="0.3">
      <c r="A950" t="s">
        <v>981</v>
      </c>
      <c r="B950" s="1">
        <v>43283</v>
      </c>
      <c r="C950" t="s">
        <v>12</v>
      </c>
      <c r="D950" t="s">
        <v>25</v>
      </c>
      <c r="E950">
        <v>16</v>
      </c>
      <c r="F950">
        <v>80</v>
      </c>
      <c r="G950">
        <v>1280</v>
      </c>
      <c r="H950">
        <v>0.02</v>
      </c>
      <c r="I950">
        <v>25.6</v>
      </c>
      <c r="J950">
        <v>1254</v>
      </c>
      <c r="K950" t="s">
        <v>18</v>
      </c>
    </row>
    <row r="951" spans="1:11" x14ac:dyDescent="0.3">
      <c r="A951" t="s">
        <v>982</v>
      </c>
      <c r="B951" s="1">
        <v>43283</v>
      </c>
      <c r="C951" t="s">
        <v>20</v>
      </c>
      <c r="D951" t="s">
        <v>17</v>
      </c>
      <c r="E951">
        <v>15</v>
      </c>
      <c r="F951">
        <v>230</v>
      </c>
      <c r="G951">
        <v>3450</v>
      </c>
      <c r="H951">
        <v>0.09</v>
      </c>
      <c r="I951">
        <v>310.5</v>
      </c>
      <c r="J951">
        <v>3140</v>
      </c>
      <c r="K951" t="s">
        <v>21</v>
      </c>
    </row>
    <row r="952" spans="1:11" x14ac:dyDescent="0.3">
      <c r="A952" t="s">
        <v>983</v>
      </c>
      <c r="B952" s="1">
        <v>43283</v>
      </c>
      <c r="C952" t="s">
        <v>31</v>
      </c>
      <c r="D952" t="s">
        <v>32</v>
      </c>
      <c r="E952">
        <v>15</v>
      </c>
      <c r="F952">
        <v>16</v>
      </c>
      <c r="G952">
        <v>240</v>
      </c>
      <c r="H952">
        <v>0.01</v>
      </c>
      <c r="I952">
        <v>2.4</v>
      </c>
      <c r="J952">
        <v>238</v>
      </c>
      <c r="K952" t="s">
        <v>23</v>
      </c>
    </row>
    <row r="953" spans="1:11" x14ac:dyDescent="0.3">
      <c r="A953" t="s">
        <v>984</v>
      </c>
      <c r="B953" s="1">
        <v>43283</v>
      </c>
      <c r="C953" t="s">
        <v>20</v>
      </c>
      <c r="D953" t="s">
        <v>13</v>
      </c>
      <c r="E953">
        <v>7</v>
      </c>
      <c r="F953">
        <v>230</v>
      </c>
      <c r="G953">
        <v>1610</v>
      </c>
      <c r="H953">
        <v>0.02</v>
      </c>
      <c r="I953">
        <v>32.200000000000003</v>
      </c>
      <c r="J953">
        <v>1578</v>
      </c>
      <c r="K953" t="s">
        <v>26</v>
      </c>
    </row>
    <row r="954" spans="1:11" x14ac:dyDescent="0.3">
      <c r="A954" t="s">
        <v>985</v>
      </c>
      <c r="B954" s="1">
        <v>43283</v>
      </c>
      <c r="C954" t="s">
        <v>31</v>
      </c>
      <c r="D954" t="s">
        <v>25</v>
      </c>
      <c r="E954">
        <v>23</v>
      </c>
      <c r="F954">
        <v>16</v>
      </c>
      <c r="G954">
        <v>368</v>
      </c>
      <c r="H954">
        <v>0.11</v>
      </c>
      <c r="I954">
        <v>40.479999999999997</v>
      </c>
      <c r="J954">
        <v>328</v>
      </c>
      <c r="K954" t="s">
        <v>29</v>
      </c>
    </row>
    <row r="955" spans="1:11" x14ac:dyDescent="0.3">
      <c r="A955" t="s">
        <v>986</v>
      </c>
      <c r="B955" s="1">
        <v>43283</v>
      </c>
      <c r="C955" t="s">
        <v>16</v>
      </c>
      <c r="D955" t="s">
        <v>32</v>
      </c>
      <c r="E955">
        <v>20</v>
      </c>
      <c r="F955">
        <v>40</v>
      </c>
      <c r="G955">
        <v>800</v>
      </c>
      <c r="H955">
        <v>0.05</v>
      </c>
      <c r="I955">
        <v>40</v>
      </c>
      <c r="J955">
        <v>760</v>
      </c>
      <c r="K955" t="s">
        <v>33</v>
      </c>
    </row>
    <row r="956" spans="1:11" x14ac:dyDescent="0.3">
      <c r="A956" t="s">
        <v>987</v>
      </c>
      <c r="B956" s="1">
        <v>43284</v>
      </c>
      <c r="C956" t="s">
        <v>20</v>
      </c>
      <c r="D956" t="s">
        <v>17</v>
      </c>
      <c r="E956">
        <v>9</v>
      </c>
      <c r="F956">
        <v>230</v>
      </c>
      <c r="G956">
        <v>2070</v>
      </c>
      <c r="H956">
        <v>0.03</v>
      </c>
      <c r="I956">
        <v>62.099999999999994</v>
      </c>
      <c r="J956">
        <v>2008</v>
      </c>
      <c r="K956" t="s">
        <v>36</v>
      </c>
    </row>
    <row r="957" spans="1:11" x14ac:dyDescent="0.3">
      <c r="A957" t="s">
        <v>988</v>
      </c>
      <c r="B957" s="1">
        <v>43284</v>
      </c>
      <c r="C957" t="s">
        <v>16</v>
      </c>
      <c r="D957" t="s">
        <v>28</v>
      </c>
      <c r="E957">
        <v>23</v>
      </c>
      <c r="F957">
        <v>40</v>
      </c>
      <c r="G957">
        <v>920</v>
      </c>
      <c r="H957">
        <v>0.06</v>
      </c>
      <c r="I957">
        <v>55.199999999999996</v>
      </c>
      <c r="J957">
        <v>865</v>
      </c>
      <c r="K957" t="s">
        <v>38</v>
      </c>
    </row>
    <row r="958" spans="1:11" x14ac:dyDescent="0.3">
      <c r="A958" t="s">
        <v>989</v>
      </c>
      <c r="B958" s="1">
        <v>43284</v>
      </c>
      <c r="C958" t="s">
        <v>16</v>
      </c>
      <c r="D958" t="s">
        <v>28</v>
      </c>
      <c r="E958">
        <v>4</v>
      </c>
      <c r="F958">
        <v>40</v>
      </c>
      <c r="G958">
        <v>160</v>
      </c>
      <c r="H958">
        <v>0.05</v>
      </c>
      <c r="I958">
        <v>8</v>
      </c>
      <c r="J958">
        <v>152</v>
      </c>
      <c r="K958" t="s">
        <v>40</v>
      </c>
    </row>
    <row r="959" spans="1:11" x14ac:dyDescent="0.3">
      <c r="A959" t="s">
        <v>990</v>
      </c>
      <c r="B959" s="1">
        <v>43284</v>
      </c>
      <c r="C959" t="s">
        <v>35</v>
      </c>
      <c r="D959" t="s">
        <v>13</v>
      </c>
      <c r="E959">
        <v>13</v>
      </c>
      <c r="F959">
        <v>150</v>
      </c>
      <c r="G959">
        <v>1950</v>
      </c>
      <c r="H959">
        <v>0.05</v>
      </c>
      <c r="I959">
        <v>97.5</v>
      </c>
      <c r="J959">
        <v>1852</v>
      </c>
      <c r="K959" t="s">
        <v>42</v>
      </c>
    </row>
    <row r="960" spans="1:11" x14ac:dyDescent="0.3">
      <c r="A960" t="s">
        <v>991</v>
      </c>
      <c r="B960" s="1">
        <v>43284</v>
      </c>
      <c r="C960" t="s">
        <v>20</v>
      </c>
      <c r="D960" t="s">
        <v>17</v>
      </c>
      <c r="E960">
        <v>7</v>
      </c>
      <c r="F960">
        <v>230</v>
      </c>
      <c r="G960">
        <v>1610</v>
      </c>
      <c r="H960">
        <v>0.01</v>
      </c>
      <c r="I960">
        <v>16.100000000000001</v>
      </c>
      <c r="J960">
        <v>1594</v>
      </c>
      <c r="K960" t="s">
        <v>44</v>
      </c>
    </row>
    <row r="961" spans="1:11" x14ac:dyDescent="0.3">
      <c r="A961" t="s">
        <v>992</v>
      </c>
      <c r="B961" s="1">
        <v>43284</v>
      </c>
      <c r="C961" t="s">
        <v>20</v>
      </c>
      <c r="D961" t="s">
        <v>17</v>
      </c>
      <c r="E961">
        <v>7</v>
      </c>
      <c r="F961">
        <v>230</v>
      </c>
      <c r="G961">
        <v>1610</v>
      </c>
      <c r="H961">
        <v>0.08</v>
      </c>
      <c r="I961">
        <v>128.80000000000001</v>
      </c>
      <c r="J961">
        <v>1481</v>
      </c>
      <c r="K961" t="s">
        <v>14</v>
      </c>
    </row>
    <row r="962" spans="1:11" x14ac:dyDescent="0.3">
      <c r="A962" t="s">
        <v>993</v>
      </c>
      <c r="B962" s="1">
        <v>43284</v>
      </c>
      <c r="C962" t="s">
        <v>20</v>
      </c>
      <c r="D962" t="s">
        <v>25</v>
      </c>
      <c r="E962">
        <v>15</v>
      </c>
      <c r="F962">
        <v>230</v>
      </c>
      <c r="G962">
        <v>3450</v>
      </c>
      <c r="H962">
        <v>0.04</v>
      </c>
      <c r="I962">
        <v>138</v>
      </c>
      <c r="J962">
        <v>3312</v>
      </c>
      <c r="K962" t="s">
        <v>18</v>
      </c>
    </row>
    <row r="963" spans="1:11" x14ac:dyDescent="0.3">
      <c r="A963" t="s">
        <v>994</v>
      </c>
      <c r="B963" s="1">
        <v>43284</v>
      </c>
      <c r="C963" t="s">
        <v>16</v>
      </c>
      <c r="D963" t="s">
        <v>28</v>
      </c>
      <c r="E963">
        <v>15</v>
      </c>
      <c r="F963">
        <v>40</v>
      </c>
      <c r="G963">
        <v>600</v>
      </c>
      <c r="H963">
        <v>0.03</v>
      </c>
      <c r="I963">
        <v>18</v>
      </c>
      <c r="J963">
        <v>582</v>
      </c>
      <c r="K963" t="s">
        <v>21</v>
      </c>
    </row>
    <row r="964" spans="1:11" x14ac:dyDescent="0.3">
      <c r="A964" t="s">
        <v>995</v>
      </c>
      <c r="B964" s="1">
        <v>43284</v>
      </c>
      <c r="C964" t="s">
        <v>16</v>
      </c>
      <c r="D964" t="s">
        <v>25</v>
      </c>
      <c r="E964">
        <v>2</v>
      </c>
      <c r="F964">
        <v>40</v>
      </c>
      <c r="G964">
        <v>80</v>
      </c>
      <c r="H964">
        <v>0.03</v>
      </c>
      <c r="I964">
        <v>2.4</v>
      </c>
      <c r="J964">
        <v>78</v>
      </c>
      <c r="K964" t="s">
        <v>23</v>
      </c>
    </row>
    <row r="965" spans="1:11" x14ac:dyDescent="0.3">
      <c r="A965" t="s">
        <v>996</v>
      </c>
      <c r="B965" s="1">
        <v>43284</v>
      </c>
      <c r="C965" t="s">
        <v>35</v>
      </c>
      <c r="D965" t="s">
        <v>25</v>
      </c>
      <c r="E965">
        <v>2</v>
      </c>
      <c r="F965">
        <v>150</v>
      </c>
      <c r="G965">
        <v>300</v>
      </c>
      <c r="H965">
        <v>0.02</v>
      </c>
      <c r="I965">
        <v>6</v>
      </c>
      <c r="J965">
        <v>294</v>
      </c>
      <c r="K965" t="s">
        <v>26</v>
      </c>
    </row>
    <row r="966" spans="1:11" x14ac:dyDescent="0.3">
      <c r="A966" t="s">
        <v>997</v>
      </c>
      <c r="B966" s="1">
        <v>43285</v>
      </c>
      <c r="C966" t="s">
        <v>20</v>
      </c>
      <c r="D966" t="s">
        <v>13</v>
      </c>
      <c r="E966">
        <v>3</v>
      </c>
      <c r="F966">
        <v>230</v>
      </c>
      <c r="G966">
        <v>690</v>
      </c>
      <c r="H966">
        <v>0.11</v>
      </c>
      <c r="I966">
        <v>75.900000000000006</v>
      </c>
      <c r="J966">
        <v>614</v>
      </c>
      <c r="K966" t="s">
        <v>29</v>
      </c>
    </row>
    <row r="967" spans="1:11" x14ac:dyDescent="0.3">
      <c r="A967" t="s">
        <v>998</v>
      </c>
      <c r="B967" s="1">
        <v>43285</v>
      </c>
      <c r="C967" t="s">
        <v>16</v>
      </c>
      <c r="D967" t="s">
        <v>25</v>
      </c>
      <c r="E967">
        <v>4</v>
      </c>
      <c r="F967">
        <v>40</v>
      </c>
      <c r="G967">
        <v>160</v>
      </c>
      <c r="H967">
        <v>0.06</v>
      </c>
      <c r="I967">
        <v>9.6</v>
      </c>
      <c r="J967">
        <v>150</v>
      </c>
      <c r="K967" t="s">
        <v>18</v>
      </c>
    </row>
    <row r="968" spans="1:11" x14ac:dyDescent="0.3">
      <c r="A968" t="s">
        <v>999</v>
      </c>
      <c r="B968" s="1">
        <v>43285</v>
      </c>
      <c r="C968" t="s">
        <v>16</v>
      </c>
      <c r="D968" t="s">
        <v>28</v>
      </c>
      <c r="E968">
        <v>13</v>
      </c>
      <c r="F968">
        <v>40</v>
      </c>
      <c r="G968">
        <v>520</v>
      </c>
      <c r="H968">
        <v>0.06</v>
      </c>
      <c r="I968">
        <v>31.2</v>
      </c>
      <c r="J968">
        <v>489</v>
      </c>
      <c r="K968" t="s">
        <v>21</v>
      </c>
    </row>
    <row r="969" spans="1:11" x14ac:dyDescent="0.3">
      <c r="A969" t="s">
        <v>1000</v>
      </c>
      <c r="B969" s="1">
        <v>43285</v>
      </c>
      <c r="C969" t="s">
        <v>31</v>
      </c>
      <c r="D969" t="s">
        <v>28</v>
      </c>
      <c r="E969">
        <v>15</v>
      </c>
      <c r="F969">
        <v>16</v>
      </c>
      <c r="G969">
        <v>240</v>
      </c>
      <c r="H969">
        <v>0.12</v>
      </c>
      <c r="I969">
        <v>28.799999999999997</v>
      </c>
      <c r="J969">
        <v>211</v>
      </c>
      <c r="K969" t="s">
        <v>23</v>
      </c>
    </row>
    <row r="970" spans="1:11" x14ac:dyDescent="0.3">
      <c r="A970" t="s">
        <v>1001</v>
      </c>
      <c r="B970" s="1">
        <v>43285</v>
      </c>
      <c r="C970" t="s">
        <v>12</v>
      </c>
      <c r="D970" t="s">
        <v>13</v>
      </c>
      <c r="E970">
        <v>14</v>
      </c>
      <c r="F970">
        <v>80</v>
      </c>
      <c r="G970">
        <v>1120</v>
      </c>
      <c r="H970">
        <v>0.08</v>
      </c>
      <c r="I970">
        <v>89.600000000000009</v>
      </c>
      <c r="J970">
        <v>1030</v>
      </c>
      <c r="K970" t="s">
        <v>26</v>
      </c>
    </row>
    <row r="971" spans="1:11" x14ac:dyDescent="0.3">
      <c r="A971" t="s">
        <v>1002</v>
      </c>
      <c r="B971" s="1">
        <v>43285</v>
      </c>
      <c r="C971" t="s">
        <v>31</v>
      </c>
      <c r="D971" t="s">
        <v>13</v>
      </c>
      <c r="E971">
        <v>7</v>
      </c>
      <c r="F971">
        <v>16</v>
      </c>
      <c r="G971">
        <v>112</v>
      </c>
      <c r="H971">
        <v>0.08</v>
      </c>
      <c r="I971">
        <v>8.9600000000000009</v>
      </c>
      <c r="J971">
        <v>103</v>
      </c>
      <c r="K971" t="s">
        <v>29</v>
      </c>
    </row>
    <row r="972" spans="1:11" x14ac:dyDescent="0.3">
      <c r="A972" t="s">
        <v>1003</v>
      </c>
      <c r="B972" s="1">
        <v>43285</v>
      </c>
      <c r="C972" t="s">
        <v>35</v>
      </c>
      <c r="D972" t="s">
        <v>17</v>
      </c>
      <c r="E972">
        <v>13</v>
      </c>
      <c r="F972">
        <v>150</v>
      </c>
      <c r="G972">
        <v>1950</v>
      </c>
      <c r="H972">
        <v>0.02</v>
      </c>
      <c r="I972">
        <v>39</v>
      </c>
      <c r="J972">
        <v>1911</v>
      </c>
      <c r="K972" t="s">
        <v>33</v>
      </c>
    </row>
    <row r="973" spans="1:11" x14ac:dyDescent="0.3">
      <c r="A973" t="s">
        <v>1004</v>
      </c>
      <c r="B973" s="1">
        <v>43285</v>
      </c>
      <c r="C973" t="s">
        <v>35</v>
      </c>
      <c r="D973" t="s">
        <v>25</v>
      </c>
      <c r="E973">
        <v>9</v>
      </c>
      <c r="F973">
        <v>150</v>
      </c>
      <c r="G973">
        <v>1350</v>
      </c>
      <c r="H973">
        <v>0.02</v>
      </c>
      <c r="I973">
        <v>27</v>
      </c>
      <c r="J973">
        <v>1323</v>
      </c>
      <c r="K973" t="s">
        <v>36</v>
      </c>
    </row>
    <row r="974" spans="1:11" x14ac:dyDescent="0.3">
      <c r="A974" t="s">
        <v>1005</v>
      </c>
      <c r="B974" s="1">
        <v>43285</v>
      </c>
      <c r="C974" t="s">
        <v>16</v>
      </c>
      <c r="D974" t="s">
        <v>13</v>
      </c>
      <c r="E974">
        <v>9</v>
      </c>
      <c r="F974">
        <v>40</v>
      </c>
      <c r="G974">
        <v>360</v>
      </c>
      <c r="H974">
        <v>0.01</v>
      </c>
      <c r="I974">
        <v>3.6</v>
      </c>
      <c r="J974">
        <v>356</v>
      </c>
      <c r="K974" t="s">
        <v>38</v>
      </c>
    </row>
    <row r="975" spans="1:11" x14ac:dyDescent="0.3">
      <c r="A975" t="s">
        <v>1006</v>
      </c>
      <c r="B975" s="1">
        <v>43286</v>
      </c>
      <c r="C975" t="s">
        <v>12</v>
      </c>
      <c r="D975" t="s">
        <v>32</v>
      </c>
      <c r="E975">
        <v>9</v>
      </c>
      <c r="F975">
        <v>80</v>
      </c>
      <c r="G975">
        <v>720</v>
      </c>
      <c r="H975">
        <v>7.0000000000000007E-2</v>
      </c>
      <c r="I975">
        <v>50.400000000000006</v>
      </c>
      <c r="J975">
        <v>670</v>
      </c>
      <c r="K975" t="s">
        <v>40</v>
      </c>
    </row>
    <row r="976" spans="1:11" x14ac:dyDescent="0.3">
      <c r="A976" t="s">
        <v>1007</v>
      </c>
      <c r="B976" s="1">
        <v>43286</v>
      </c>
      <c r="C976" t="s">
        <v>20</v>
      </c>
      <c r="D976" t="s">
        <v>17</v>
      </c>
      <c r="E976">
        <v>22</v>
      </c>
      <c r="F976">
        <v>230</v>
      </c>
      <c r="G976">
        <v>5060</v>
      </c>
      <c r="H976">
        <v>0.11</v>
      </c>
      <c r="I976">
        <v>556.6</v>
      </c>
      <c r="J976">
        <v>4503</v>
      </c>
      <c r="K976" t="s">
        <v>42</v>
      </c>
    </row>
    <row r="977" spans="1:11" x14ac:dyDescent="0.3">
      <c r="A977" t="s">
        <v>1008</v>
      </c>
      <c r="B977" s="1">
        <v>43286</v>
      </c>
      <c r="C977" t="s">
        <v>35</v>
      </c>
      <c r="D977" t="s">
        <v>17</v>
      </c>
      <c r="E977">
        <v>15</v>
      </c>
      <c r="F977">
        <v>150</v>
      </c>
      <c r="G977">
        <v>2250</v>
      </c>
      <c r="H977">
        <v>0.02</v>
      </c>
      <c r="I977">
        <v>45</v>
      </c>
      <c r="J977">
        <v>2205</v>
      </c>
      <c r="K977" t="s">
        <v>44</v>
      </c>
    </row>
    <row r="978" spans="1:11" x14ac:dyDescent="0.3">
      <c r="A978" t="s">
        <v>1009</v>
      </c>
      <c r="B978" s="1">
        <v>43286</v>
      </c>
      <c r="C978" t="s">
        <v>20</v>
      </c>
      <c r="D978" t="s">
        <v>32</v>
      </c>
      <c r="E978">
        <v>5</v>
      </c>
      <c r="F978">
        <v>230</v>
      </c>
      <c r="G978">
        <v>1150</v>
      </c>
      <c r="H978">
        <v>0.12</v>
      </c>
      <c r="I978">
        <v>138</v>
      </c>
      <c r="J978">
        <v>1012</v>
      </c>
      <c r="K978" t="s">
        <v>14</v>
      </c>
    </row>
    <row r="979" spans="1:11" x14ac:dyDescent="0.3">
      <c r="A979" t="s">
        <v>1010</v>
      </c>
      <c r="B979" s="1">
        <v>43286</v>
      </c>
      <c r="C979" t="s">
        <v>16</v>
      </c>
      <c r="D979" t="s">
        <v>25</v>
      </c>
      <c r="E979">
        <v>20</v>
      </c>
      <c r="F979">
        <v>40</v>
      </c>
      <c r="G979">
        <v>800</v>
      </c>
      <c r="H979">
        <v>0.01</v>
      </c>
      <c r="I979">
        <v>8</v>
      </c>
      <c r="J979">
        <v>792</v>
      </c>
      <c r="K979" t="s">
        <v>18</v>
      </c>
    </row>
    <row r="980" spans="1:11" x14ac:dyDescent="0.3">
      <c r="A980" t="s">
        <v>1011</v>
      </c>
      <c r="B980" s="1">
        <v>43286</v>
      </c>
      <c r="C980" t="s">
        <v>16</v>
      </c>
      <c r="D980" t="s">
        <v>13</v>
      </c>
      <c r="E980">
        <v>23</v>
      </c>
      <c r="F980">
        <v>40</v>
      </c>
      <c r="G980">
        <v>920</v>
      </c>
      <c r="H980">
        <v>0.03</v>
      </c>
      <c r="I980">
        <v>27.599999999999998</v>
      </c>
      <c r="J980">
        <v>892</v>
      </c>
      <c r="K980" t="s">
        <v>21</v>
      </c>
    </row>
    <row r="981" spans="1:11" x14ac:dyDescent="0.3">
      <c r="A981" t="s">
        <v>1012</v>
      </c>
      <c r="B981" s="1">
        <v>43286</v>
      </c>
      <c r="C981" t="s">
        <v>12</v>
      </c>
      <c r="D981" t="s">
        <v>32</v>
      </c>
      <c r="E981">
        <v>16</v>
      </c>
      <c r="F981">
        <v>80</v>
      </c>
      <c r="G981">
        <v>1280</v>
      </c>
      <c r="H981">
        <v>0.05</v>
      </c>
      <c r="I981">
        <v>64</v>
      </c>
      <c r="J981">
        <v>1216</v>
      </c>
      <c r="K981" t="s">
        <v>23</v>
      </c>
    </row>
    <row r="982" spans="1:11" x14ac:dyDescent="0.3">
      <c r="A982" t="s">
        <v>1013</v>
      </c>
      <c r="B982" s="1">
        <v>43286</v>
      </c>
      <c r="C982" t="s">
        <v>20</v>
      </c>
      <c r="D982" t="s">
        <v>25</v>
      </c>
      <c r="E982">
        <v>18</v>
      </c>
      <c r="F982">
        <v>230</v>
      </c>
      <c r="G982">
        <v>4140</v>
      </c>
      <c r="H982">
        <v>0.01</v>
      </c>
      <c r="I982">
        <v>41.4</v>
      </c>
      <c r="J982">
        <v>4099</v>
      </c>
      <c r="K982" t="s">
        <v>26</v>
      </c>
    </row>
    <row r="983" spans="1:11" x14ac:dyDescent="0.3">
      <c r="A983" t="s">
        <v>1014</v>
      </c>
      <c r="B983" s="1">
        <v>43286</v>
      </c>
      <c r="C983" t="s">
        <v>16</v>
      </c>
      <c r="D983" t="s">
        <v>32</v>
      </c>
      <c r="E983">
        <v>23</v>
      </c>
      <c r="F983">
        <v>40</v>
      </c>
      <c r="G983">
        <v>920</v>
      </c>
      <c r="H983">
        <v>0.05</v>
      </c>
      <c r="I983">
        <v>46</v>
      </c>
      <c r="J983">
        <v>874</v>
      </c>
      <c r="K983" t="s">
        <v>29</v>
      </c>
    </row>
    <row r="984" spans="1:11" x14ac:dyDescent="0.3">
      <c r="A984" t="s">
        <v>1015</v>
      </c>
      <c r="B984" s="1">
        <v>43286</v>
      </c>
      <c r="C984" t="s">
        <v>31</v>
      </c>
      <c r="D984" t="s">
        <v>28</v>
      </c>
      <c r="E984">
        <v>5</v>
      </c>
      <c r="F984">
        <v>16</v>
      </c>
      <c r="G984">
        <v>80</v>
      </c>
      <c r="H984">
        <v>0.09</v>
      </c>
      <c r="I984">
        <v>7.1999999999999993</v>
      </c>
      <c r="J984">
        <v>73</v>
      </c>
      <c r="K984" t="s">
        <v>18</v>
      </c>
    </row>
    <row r="985" spans="1:11" x14ac:dyDescent="0.3">
      <c r="A985" t="s">
        <v>1016</v>
      </c>
      <c r="B985" s="1">
        <v>43286</v>
      </c>
      <c r="C985" t="s">
        <v>16</v>
      </c>
      <c r="D985" t="s">
        <v>13</v>
      </c>
      <c r="E985">
        <v>22</v>
      </c>
      <c r="F985">
        <v>40</v>
      </c>
      <c r="G985">
        <v>880</v>
      </c>
      <c r="H985">
        <v>0.02</v>
      </c>
      <c r="I985">
        <v>17.600000000000001</v>
      </c>
      <c r="J985">
        <v>862</v>
      </c>
      <c r="K985" t="s">
        <v>21</v>
      </c>
    </row>
    <row r="986" spans="1:11" x14ac:dyDescent="0.3">
      <c r="A986" t="s">
        <v>1017</v>
      </c>
      <c r="B986" s="1">
        <v>43287</v>
      </c>
      <c r="C986" t="s">
        <v>35</v>
      </c>
      <c r="D986" t="s">
        <v>13</v>
      </c>
      <c r="E986">
        <v>23</v>
      </c>
      <c r="F986">
        <v>150</v>
      </c>
      <c r="G986">
        <v>3450</v>
      </c>
      <c r="H986">
        <v>0.1</v>
      </c>
      <c r="I986">
        <v>345</v>
      </c>
      <c r="J986">
        <v>3105</v>
      </c>
      <c r="K986" t="s">
        <v>23</v>
      </c>
    </row>
    <row r="987" spans="1:11" x14ac:dyDescent="0.3">
      <c r="A987" t="s">
        <v>1018</v>
      </c>
      <c r="B987" s="1">
        <v>43287</v>
      </c>
      <c r="C987" t="s">
        <v>20</v>
      </c>
      <c r="D987" t="s">
        <v>17</v>
      </c>
      <c r="E987">
        <v>22</v>
      </c>
      <c r="F987">
        <v>230</v>
      </c>
      <c r="G987">
        <v>5060</v>
      </c>
      <c r="H987">
        <v>0.04</v>
      </c>
      <c r="I987">
        <v>202.4</v>
      </c>
      <c r="J987">
        <v>4858</v>
      </c>
      <c r="K987" t="s">
        <v>26</v>
      </c>
    </row>
    <row r="988" spans="1:11" x14ac:dyDescent="0.3">
      <c r="A988" t="s">
        <v>1019</v>
      </c>
      <c r="B988" s="1">
        <v>43287</v>
      </c>
      <c r="C988" t="s">
        <v>12</v>
      </c>
      <c r="D988" t="s">
        <v>28</v>
      </c>
      <c r="E988">
        <v>16</v>
      </c>
      <c r="F988">
        <v>80</v>
      </c>
      <c r="G988">
        <v>1280</v>
      </c>
      <c r="H988">
        <v>7.0000000000000007E-2</v>
      </c>
      <c r="I988">
        <v>89.600000000000009</v>
      </c>
      <c r="J988">
        <v>1190</v>
      </c>
      <c r="K988" t="s">
        <v>29</v>
      </c>
    </row>
    <row r="989" spans="1:11" x14ac:dyDescent="0.3">
      <c r="A989" t="s">
        <v>1020</v>
      </c>
      <c r="B989" s="1">
        <v>43287</v>
      </c>
      <c r="C989" t="s">
        <v>35</v>
      </c>
      <c r="D989" t="s">
        <v>25</v>
      </c>
      <c r="E989">
        <v>22</v>
      </c>
      <c r="F989">
        <v>150</v>
      </c>
      <c r="G989">
        <v>3300</v>
      </c>
      <c r="H989">
        <v>0.09</v>
      </c>
      <c r="I989">
        <v>297</v>
      </c>
      <c r="J989">
        <v>3003</v>
      </c>
      <c r="K989" t="s">
        <v>33</v>
      </c>
    </row>
    <row r="990" spans="1:11" x14ac:dyDescent="0.3">
      <c r="A990" t="s">
        <v>1021</v>
      </c>
      <c r="B990" s="1">
        <v>43287</v>
      </c>
      <c r="C990" t="s">
        <v>12</v>
      </c>
      <c r="D990" t="s">
        <v>25</v>
      </c>
      <c r="E990">
        <v>5</v>
      </c>
      <c r="F990">
        <v>80</v>
      </c>
      <c r="G990">
        <v>400</v>
      </c>
      <c r="H990">
        <v>0.09</v>
      </c>
      <c r="I990">
        <v>36</v>
      </c>
      <c r="J990">
        <v>364</v>
      </c>
      <c r="K990" t="s">
        <v>36</v>
      </c>
    </row>
    <row r="991" spans="1:11" x14ac:dyDescent="0.3">
      <c r="A991" t="s">
        <v>1022</v>
      </c>
      <c r="B991" s="1">
        <v>43287</v>
      </c>
      <c r="C991" t="s">
        <v>12</v>
      </c>
      <c r="D991" t="s">
        <v>28</v>
      </c>
      <c r="E991">
        <v>16</v>
      </c>
      <c r="F991">
        <v>80</v>
      </c>
      <c r="G991">
        <v>1280</v>
      </c>
      <c r="H991">
        <v>0.1</v>
      </c>
      <c r="I991">
        <v>128</v>
      </c>
      <c r="J991">
        <v>1152</v>
      </c>
      <c r="K991" t="s">
        <v>38</v>
      </c>
    </row>
    <row r="992" spans="1:11" x14ac:dyDescent="0.3">
      <c r="A992" t="s">
        <v>1023</v>
      </c>
      <c r="B992" s="1">
        <v>43287</v>
      </c>
      <c r="C992" t="s">
        <v>35</v>
      </c>
      <c r="D992" t="s">
        <v>17</v>
      </c>
      <c r="E992">
        <v>23</v>
      </c>
      <c r="F992">
        <v>150</v>
      </c>
      <c r="G992">
        <v>3450</v>
      </c>
      <c r="H992">
        <v>0.11</v>
      </c>
      <c r="I992">
        <v>379.5</v>
      </c>
      <c r="J992">
        <v>3070</v>
      </c>
      <c r="K992" t="s">
        <v>40</v>
      </c>
    </row>
    <row r="993" spans="1:11" x14ac:dyDescent="0.3">
      <c r="A993" t="s">
        <v>1024</v>
      </c>
      <c r="B993" s="1">
        <v>43287</v>
      </c>
      <c r="C993" t="s">
        <v>31</v>
      </c>
      <c r="D993" t="s">
        <v>17</v>
      </c>
      <c r="E993">
        <v>4</v>
      </c>
      <c r="F993">
        <v>16</v>
      </c>
      <c r="G993">
        <v>64</v>
      </c>
      <c r="H993">
        <v>0.09</v>
      </c>
      <c r="I993">
        <v>5.76</v>
      </c>
      <c r="J993">
        <v>58</v>
      </c>
      <c r="K993" t="s">
        <v>42</v>
      </c>
    </row>
    <row r="994" spans="1:11" x14ac:dyDescent="0.3">
      <c r="A994" t="s">
        <v>1025</v>
      </c>
      <c r="B994" s="1">
        <v>43287</v>
      </c>
      <c r="C994" t="s">
        <v>31</v>
      </c>
      <c r="D994" t="s">
        <v>17</v>
      </c>
      <c r="E994">
        <v>4</v>
      </c>
      <c r="F994">
        <v>16</v>
      </c>
      <c r="G994">
        <v>64</v>
      </c>
      <c r="H994">
        <v>7.0000000000000007E-2</v>
      </c>
      <c r="I994">
        <v>4.4800000000000004</v>
      </c>
      <c r="J994">
        <v>60</v>
      </c>
      <c r="K994" t="s">
        <v>44</v>
      </c>
    </row>
    <row r="995" spans="1:11" x14ac:dyDescent="0.3">
      <c r="A995" t="s">
        <v>1026</v>
      </c>
      <c r="B995" s="1">
        <v>43287</v>
      </c>
      <c r="C995" t="s">
        <v>31</v>
      </c>
      <c r="D995" t="s">
        <v>13</v>
      </c>
      <c r="E995">
        <v>16</v>
      </c>
      <c r="F995">
        <v>16</v>
      </c>
      <c r="G995">
        <v>256</v>
      </c>
      <c r="H995">
        <v>0.03</v>
      </c>
      <c r="I995">
        <v>7.68</v>
      </c>
      <c r="J995">
        <v>248</v>
      </c>
      <c r="K995" t="s">
        <v>14</v>
      </c>
    </row>
    <row r="996" spans="1:11" x14ac:dyDescent="0.3">
      <c r="A996" t="s">
        <v>1027</v>
      </c>
      <c r="B996" s="1">
        <v>43287</v>
      </c>
      <c r="C996" t="s">
        <v>16</v>
      </c>
      <c r="D996" t="s">
        <v>28</v>
      </c>
      <c r="E996">
        <v>18</v>
      </c>
      <c r="F996">
        <v>40</v>
      </c>
      <c r="G996">
        <v>720</v>
      </c>
      <c r="H996">
        <v>0.04</v>
      </c>
      <c r="I996">
        <v>28.8</v>
      </c>
      <c r="J996">
        <v>691</v>
      </c>
      <c r="K996" t="s">
        <v>18</v>
      </c>
    </row>
    <row r="997" spans="1:11" x14ac:dyDescent="0.3">
      <c r="A997" t="s">
        <v>1028</v>
      </c>
      <c r="B997" s="1">
        <v>43287</v>
      </c>
      <c r="C997" t="s">
        <v>12</v>
      </c>
      <c r="D997" t="s">
        <v>28</v>
      </c>
      <c r="E997">
        <v>21</v>
      </c>
      <c r="F997">
        <v>80</v>
      </c>
      <c r="G997">
        <v>1680</v>
      </c>
      <c r="H997">
        <v>0.02</v>
      </c>
      <c r="I997">
        <v>33.6</v>
      </c>
      <c r="J997">
        <v>1646</v>
      </c>
      <c r="K997" t="s">
        <v>21</v>
      </c>
    </row>
    <row r="998" spans="1:11" x14ac:dyDescent="0.3">
      <c r="A998" t="s">
        <v>1029</v>
      </c>
      <c r="B998" s="1">
        <v>43287</v>
      </c>
      <c r="C998" t="s">
        <v>12</v>
      </c>
      <c r="D998" t="s">
        <v>32</v>
      </c>
      <c r="E998">
        <v>10</v>
      </c>
      <c r="F998">
        <v>80</v>
      </c>
      <c r="G998">
        <v>800</v>
      </c>
      <c r="H998">
        <v>0.06</v>
      </c>
      <c r="I998">
        <v>48</v>
      </c>
      <c r="J998">
        <v>752</v>
      </c>
      <c r="K998" t="s">
        <v>23</v>
      </c>
    </row>
    <row r="999" spans="1:11" x14ac:dyDescent="0.3">
      <c r="A999" t="s">
        <v>1030</v>
      </c>
      <c r="B999" s="1">
        <v>43287</v>
      </c>
      <c r="C999" t="s">
        <v>20</v>
      </c>
      <c r="D999" t="s">
        <v>25</v>
      </c>
      <c r="E999">
        <v>7</v>
      </c>
      <c r="F999">
        <v>230</v>
      </c>
      <c r="G999">
        <v>1610</v>
      </c>
      <c r="H999">
        <v>0.01</v>
      </c>
      <c r="I999">
        <v>16.100000000000001</v>
      </c>
      <c r="J999">
        <v>1594</v>
      </c>
      <c r="K999" t="s">
        <v>26</v>
      </c>
    </row>
    <row r="1000" spans="1:11" x14ac:dyDescent="0.3">
      <c r="A1000" t="s">
        <v>1031</v>
      </c>
      <c r="B1000" s="1">
        <v>43288</v>
      </c>
      <c r="C1000" t="s">
        <v>31</v>
      </c>
      <c r="D1000" t="s">
        <v>32</v>
      </c>
      <c r="E1000">
        <v>11</v>
      </c>
      <c r="F1000">
        <v>16</v>
      </c>
      <c r="G1000">
        <v>176</v>
      </c>
      <c r="H1000">
        <v>0.12</v>
      </c>
      <c r="I1000">
        <v>21.119999999999997</v>
      </c>
      <c r="J1000">
        <v>155</v>
      </c>
      <c r="K1000" t="s">
        <v>29</v>
      </c>
    </row>
    <row r="1001" spans="1:11" x14ac:dyDescent="0.3">
      <c r="A1001" t="s">
        <v>1032</v>
      </c>
      <c r="B1001" s="1">
        <v>43288</v>
      </c>
      <c r="C1001" t="s">
        <v>12</v>
      </c>
      <c r="D1001" t="s">
        <v>28</v>
      </c>
      <c r="E1001">
        <v>10</v>
      </c>
      <c r="F1001">
        <v>80</v>
      </c>
      <c r="G1001">
        <v>800</v>
      </c>
      <c r="H1001">
        <v>0.1</v>
      </c>
      <c r="I1001">
        <v>80</v>
      </c>
      <c r="J1001">
        <v>720</v>
      </c>
      <c r="K1001" t="s">
        <v>18</v>
      </c>
    </row>
    <row r="1002" spans="1:11" x14ac:dyDescent="0.3">
      <c r="A1002" t="s">
        <v>1033</v>
      </c>
      <c r="B1002" s="1">
        <v>43288</v>
      </c>
      <c r="C1002" t="s">
        <v>16</v>
      </c>
      <c r="D1002" t="s">
        <v>17</v>
      </c>
      <c r="E1002">
        <v>23</v>
      </c>
      <c r="F1002">
        <v>40</v>
      </c>
      <c r="G1002">
        <v>920</v>
      </c>
      <c r="H1002">
        <v>0.06</v>
      </c>
      <c r="I1002">
        <v>55.199999999999996</v>
      </c>
      <c r="J1002">
        <v>865</v>
      </c>
      <c r="K1002" t="s">
        <v>21</v>
      </c>
    </row>
    <row r="1003" spans="1:11" x14ac:dyDescent="0.3">
      <c r="A1003" t="s">
        <v>1034</v>
      </c>
      <c r="B1003" s="1">
        <v>43288</v>
      </c>
      <c r="C1003" t="s">
        <v>35</v>
      </c>
      <c r="D1003" t="s">
        <v>32</v>
      </c>
      <c r="E1003">
        <v>7</v>
      </c>
      <c r="F1003">
        <v>150</v>
      </c>
      <c r="G1003">
        <v>1050</v>
      </c>
      <c r="H1003">
        <v>0.02</v>
      </c>
      <c r="I1003">
        <v>21</v>
      </c>
      <c r="J1003">
        <v>1029</v>
      </c>
      <c r="K1003" t="s">
        <v>23</v>
      </c>
    </row>
    <row r="1004" spans="1:11" x14ac:dyDescent="0.3">
      <c r="A1004" t="s">
        <v>1035</v>
      </c>
      <c r="B1004" s="1">
        <v>43288</v>
      </c>
      <c r="C1004" t="s">
        <v>12</v>
      </c>
      <c r="D1004" t="s">
        <v>13</v>
      </c>
      <c r="E1004">
        <v>17</v>
      </c>
      <c r="F1004">
        <v>80</v>
      </c>
      <c r="G1004">
        <v>1360</v>
      </c>
      <c r="H1004">
        <v>7.0000000000000007E-2</v>
      </c>
      <c r="I1004">
        <v>95.2</v>
      </c>
      <c r="J1004">
        <v>1265</v>
      </c>
      <c r="K1004" t="s">
        <v>26</v>
      </c>
    </row>
    <row r="1005" spans="1:11" x14ac:dyDescent="0.3">
      <c r="A1005" t="s">
        <v>1036</v>
      </c>
      <c r="B1005" s="1">
        <v>43288</v>
      </c>
      <c r="C1005" t="s">
        <v>35</v>
      </c>
      <c r="D1005" t="s">
        <v>17</v>
      </c>
      <c r="E1005">
        <v>20</v>
      </c>
      <c r="F1005">
        <v>150</v>
      </c>
      <c r="G1005">
        <v>3000</v>
      </c>
      <c r="H1005">
        <v>0.09</v>
      </c>
      <c r="I1005">
        <v>270</v>
      </c>
      <c r="J1005">
        <v>2730</v>
      </c>
      <c r="K1005" t="s">
        <v>29</v>
      </c>
    </row>
    <row r="1006" spans="1:11" x14ac:dyDescent="0.3">
      <c r="A1006" t="s">
        <v>1037</v>
      </c>
      <c r="B1006" s="1">
        <v>43288</v>
      </c>
      <c r="C1006" t="s">
        <v>20</v>
      </c>
      <c r="D1006" t="s">
        <v>28</v>
      </c>
      <c r="E1006">
        <v>23</v>
      </c>
      <c r="F1006">
        <v>230</v>
      </c>
      <c r="G1006">
        <v>5290</v>
      </c>
      <c r="H1006">
        <v>0.06</v>
      </c>
      <c r="I1006">
        <v>317.39999999999998</v>
      </c>
      <c r="J1006">
        <v>4973</v>
      </c>
      <c r="K1006" t="s">
        <v>33</v>
      </c>
    </row>
    <row r="1007" spans="1:11" x14ac:dyDescent="0.3">
      <c r="A1007" t="s">
        <v>1038</v>
      </c>
      <c r="B1007" s="1">
        <v>43288</v>
      </c>
      <c r="C1007" t="s">
        <v>12</v>
      </c>
      <c r="D1007" t="s">
        <v>17</v>
      </c>
      <c r="E1007">
        <v>16</v>
      </c>
      <c r="F1007">
        <v>80</v>
      </c>
      <c r="G1007">
        <v>1280</v>
      </c>
      <c r="H1007">
        <v>0.04</v>
      </c>
      <c r="I1007">
        <v>51.2</v>
      </c>
      <c r="J1007">
        <v>1229</v>
      </c>
      <c r="K1007" t="s">
        <v>36</v>
      </c>
    </row>
    <row r="1008" spans="1:11" x14ac:dyDescent="0.3">
      <c r="A1008" t="s">
        <v>1039</v>
      </c>
      <c r="B1008" s="1">
        <v>43288</v>
      </c>
      <c r="C1008" t="s">
        <v>20</v>
      </c>
      <c r="D1008" t="s">
        <v>32</v>
      </c>
      <c r="E1008">
        <v>22</v>
      </c>
      <c r="F1008">
        <v>230</v>
      </c>
      <c r="G1008">
        <v>5060</v>
      </c>
      <c r="H1008">
        <v>0.1</v>
      </c>
      <c r="I1008">
        <v>506</v>
      </c>
      <c r="J1008">
        <v>4554</v>
      </c>
      <c r="K1008" t="s">
        <v>38</v>
      </c>
    </row>
    <row r="1009" spans="1:11" x14ac:dyDescent="0.3">
      <c r="A1009" t="s">
        <v>1040</v>
      </c>
      <c r="B1009" s="1">
        <v>43288</v>
      </c>
      <c r="C1009" t="s">
        <v>20</v>
      </c>
      <c r="D1009" t="s">
        <v>25</v>
      </c>
      <c r="E1009">
        <v>15</v>
      </c>
      <c r="F1009">
        <v>230</v>
      </c>
      <c r="G1009">
        <v>3450</v>
      </c>
      <c r="H1009">
        <v>0.11</v>
      </c>
      <c r="I1009">
        <v>379.5</v>
      </c>
      <c r="J1009">
        <v>3070</v>
      </c>
      <c r="K1009" t="s">
        <v>40</v>
      </c>
    </row>
    <row r="1010" spans="1:11" x14ac:dyDescent="0.3">
      <c r="A1010" t="s">
        <v>1041</v>
      </c>
      <c r="B1010" s="1">
        <v>43288</v>
      </c>
      <c r="C1010" t="s">
        <v>16</v>
      </c>
      <c r="D1010" t="s">
        <v>17</v>
      </c>
      <c r="E1010">
        <v>15</v>
      </c>
      <c r="F1010">
        <v>40</v>
      </c>
      <c r="G1010">
        <v>600</v>
      </c>
      <c r="H1010">
        <v>0.04</v>
      </c>
      <c r="I1010">
        <v>24</v>
      </c>
      <c r="J1010">
        <v>576</v>
      </c>
      <c r="K1010" t="s">
        <v>42</v>
      </c>
    </row>
    <row r="1011" spans="1:11" x14ac:dyDescent="0.3">
      <c r="A1011" t="s">
        <v>1042</v>
      </c>
      <c r="B1011" s="1">
        <v>43288</v>
      </c>
      <c r="C1011" t="s">
        <v>12</v>
      </c>
      <c r="D1011" t="s">
        <v>17</v>
      </c>
      <c r="E1011">
        <v>2</v>
      </c>
      <c r="F1011">
        <v>80</v>
      </c>
      <c r="G1011">
        <v>160</v>
      </c>
      <c r="H1011">
        <v>7.0000000000000007E-2</v>
      </c>
      <c r="I1011">
        <v>11.200000000000001</v>
      </c>
      <c r="J1011">
        <v>149</v>
      </c>
      <c r="K1011" t="s">
        <v>44</v>
      </c>
    </row>
    <row r="1012" spans="1:11" x14ac:dyDescent="0.3">
      <c r="A1012" t="s">
        <v>1043</v>
      </c>
      <c r="B1012" s="1">
        <v>43289</v>
      </c>
      <c r="C1012" t="s">
        <v>35</v>
      </c>
      <c r="D1012" t="s">
        <v>13</v>
      </c>
      <c r="E1012">
        <v>22</v>
      </c>
      <c r="F1012">
        <v>150</v>
      </c>
      <c r="G1012">
        <v>3300</v>
      </c>
      <c r="H1012">
        <v>0.05</v>
      </c>
      <c r="I1012">
        <v>165</v>
      </c>
      <c r="J1012">
        <v>3135</v>
      </c>
      <c r="K1012" t="s">
        <v>14</v>
      </c>
    </row>
    <row r="1013" spans="1:11" x14ac:dyDescent="0.3">
      <c r="A1013" t="s">
        <v>1044</v>
      </c>
      <c r="B1013" s="1">
        <v>43289</v>
      </c>
      <c r="C1013" t="s">
        <v>16</v>
      </c>
      <c r="D1013" t="s">
        <v>32</v>
      </c>
      <c r="E1013">
        <v>20</v>
      </c>
      <c r="F1013">
        <v>40</v>
      </c>
      <c r="G1013">
        <v>800</v>
      </c>
      <c r="H1013">
        <v>7.0000000000000007E-2</v>
      </c>
      <c r="I1013">
        <v>56.000000000000007</v>
      </c>
      <c r="J1013">
        <v>744</v>
      </c>
      <c r="K1013" t="s">
        <v>18</v>
      </c>
    </row>
    <row r="1014" spans="1:11" x14ac:dyDescent="0.3">
      <c r="A1014" t="s">
        <v>1045</v>
      </c>
      <c r="B1014" s="1">
        <v>43289</v>
      </c>
      <c r="C1014" t="s">
        <v>20</v>
      </c>
      <c r="D1014" t="s">
        <v>28</v>
      </c>
      <c r="E1014">
        <v>2</v>
      </c>
      <c r="F1014">
        <v>230</v>
      </c>
      <c r="G1014">
        <v>460</v>
      </c>
      <c r="H1014">
        <v>0.09</v>
      </c>
      <c r="I1014">
        <v>41.4</v>
      </c>
      <c r="J1014">
        <v>419</v>
      </c>
      <c r="K1014" t="s">
        <v>21</v>
      </c>
    </row>
    <row r="1015" spans="1:11" x14ac:dyDescent="0.3">
      <c r="A1015" t="s">
        <v>1046</v>
      </c>
      <c r="B1015" s="1">
        <v>43289</v>
      </c>
      <c r="C1015" t="s">
        <v>16</v>
      </c>
      <c r="D1015" t="s">
        <v>28</v>
      </c>
      <c r="E1015">
        <v>7</v>
      </c>
      <c r="F1015">
        <v>40</v>
      </c>
      <c r="G1015">
        <v>280</v>
      </c>
      <c r="H1015">
        <v>0.11</v>
      </c>
      <c r="I1015">
        <v>30.8</v>
      </c>
      <c r="J1015">
        <v>249</v>
      </c>
      <c r="K1015" t="s">
        <v>23</v>
      </c>
    </row>
    <row r="1016" spans="1:11" x14ac:dyDescent="0.3">
      <c r="A1016" t="s">
        <v>1047</v>
      </c>
      <c r="B1016" s="1">
        <v>43289</v>
      </c>
      <c r="C1016" t="s">
        <v>16</v>
      </c>
      <c r="D1016" t="s">
        <v>28</v>
      </c>
      <c r="E1016">
        <v>9</v>
      </c>
      <c r="F1016">
        <v>40</v>
      </c>
      <c r="G1016">
        <v>360</v>
      </c>
      <c r="H1016">
        <v>0.06</v>
      </c>
      <c r="I1016">
        <v>21.599999999999998</v>
      </c>
      <c r="J1016">
        <v>338</v>
      </c>
      <c r="K1016" t="s">
        <v>29</v>
      </c>
    </row>
    <row r="1017" spans="1:11" x14ac:dyDescent="0.3">
      <c r="A1017" t="s">
        <v>1048</v>
      </c>
      <c r="B1017" s="1">
        <v>43289</v>
      </c>
      <c r="C1017" t="s">
        <v>16</v>
      </c>
      <c r="D1017" t="s">
        <v>13</v>
      </c>
      <c r="E1017">
        <v>18</v>
      </c>
      <c r="F1017">
        <v>40</v>
      </c>
      <c r="G1017">
        <v>720</v>
      </c>
      <c r="H1017">
        <v>0.11</v>
      </c>
      <c r="I1017">
        <v>79.2</v>
      </c>
      <c r="J1017">
        <v>641</v>
      </c>
      <c r="K1017" t="s">
        <v>18</v>
      </c>
    </row>
    <row r="1018" spans="1:11" x14ac:dyDescent="0.3">
      <c r="A1018" t="s">
        <v>1049</v>
      </c>
      <c r="B1018" s="1">
        <v>43289</v>
      </c>
      <c r="C1018" t="s">
        <v>20</v>
      </c>
      <c r="D1018" t="s">
        <v>13</v>
      </c>
      <c r="E1018">
        <v>20</v>
      </c>
      <c r="F1018">
        <v>230</v>
      </c>
      <c r="G1018">
        <v>4600</v>
      </c>
      <c r="H1018">
        <v>0.04</v>
      </c>
      <c r="I1018">
        <v>184</v>
      </c>
      <c r="J1018">
        <v>4416</v>
      </c>
      <c r="K1018" t="s">
        <v>21</v>
      </c>
    </row>
    <row r="1019" spans="1:11" x14ac:dyDescent="0.3">
      <c r="A1019" t="s">
        <v>1050</v>
      </c>
      <c r="B1019" s="1">
        <v>43289</v>
      </c>
      <c r="C1019" t="s">
        <v>12</v>
      </c>
      <c r="D1019" t="s">
        <v>25</v>
      </c>
      <c r="E1019">
        <v>23</v>
      </c>
      <c r="F1019">
        <v>80</v>
      </c>
      <c r="G1019">
        <v>1840</v>
      </c>
      <c r="H1019">
        <v>0.05</v>
      </c>
      <c r="I1019">
        <v>92</v>
      </c>
      <c r="J1019">
        <v>1748</v>
      </c>
      <c r="K1019" t="s">
        <v>23</v>
      </c>
    </row>
    <row r="1020" spans="1:11" x14ac:dyDescent="0.3">
      <c r="A1020" t="s">
        <v>1051</v>
      </c>
      <c r="B1020" s="1">
        <v>43289</v>
      </c>
      <c r="C1020" t="s">
        <v>35</v>
      </c>
      <c r="D1020" t="s">
        <v>32</v>
      </c>
      <c r="E1020">
        <v>11</v>
      </c>
      <c r="F1020">
        <v>150</v>
      </c>
      <c r="G1020">
        <v>1650</v>
      </c>
      <c r="H1020">
        <v>0.09</v>
      </c>
      <c r="I1020">
        <v>148.5</v>
      </c>
      <c r="J1020">
        <v>1502</v>
      </c>
      <c r="K1020" t="s">
        <v>26</v>
      </c>
    </row>
    <row r="1021" spans="1:11" x14ac:dyDescent="0.3">
      <c r="A1021" t="s">
        <v>1052</v>
      </c>
      <c r="B1021" s="1">
        <v>43289</v>
      </c>
      <c r="C1021" t="s">
        <v>35</v>
      </c>
      <c r="D1021" t="s">
        <v>13</v>
      </c>
      <c r="E1021">
        <v>17</v>
      </c>
      <c r="F1021">
        <v>150</v>
      </c>
      <c r="G1021">
        <v>2550</v>
      </c>
      <c r="H1021">
        <v>0.12</v>
      </c>
      <c r="I1021">
        <v>306</v>
      </c>
      <c r="J1021">
        <v>2244</v>
      </c>
      <c r="K1021" t="s">
        <v>29</v>
      </c>
    </row>
    <row r="1022" spans="1:11" x14ac:dyDescent="0.3">
      <c r="A1022" t="s">
        <v>1053</v>
      </c>
      <c r="B1022" s="1">
        <v>43289</v>
      </c>
      <c r="C1022" t="s">
        <v>20</v>
      </c>
      <c r="D1022" t="s">
        <v>32</v>
      </c>
      <c r="E1022">
        <v>2</v>
      </c>
      <c r="F1022">
        <v>230</v>
      </c>
      <c r="G1022">
        <v>460</v>
      </c>
      <c r="H1022">
        <v>0.08</v>
      </c>
      <c r="I1022">
        <v>36.800000000000004</v>
      </c>
      <c r="J1022">
        <v>423</v>
      </c>
      <c r="K1022" t="s">
        <v>33</v>
      </c>
    </row>
    <row r="1023" spans="1:11" x14ac:dyDescent="0.3">
      <c r="A1023" t="s">
        <v>1054</v>
      </c>
      <c r="B1023" s="1">
        <v>43289</v>
      </c>
      <c r="C1023" t="s">
        <v>12</v>
      </c>
      <c r="D1023" t="s">
        <v>25</v>
      </c>
      <c r="E1023">
        <v>10</v>
      </c>
      <c r="F1023">
        <v>80</v>
      </c>
      <c r="G1023">
        <v>800</v>
      </c>
      <c r="H1023">
        <v>0.11</v>
      </c>
      <c r="I1023">
        <v>88</v>
      </c>
      <c r="J1023">
        <v>712</v>
      </c>
      <c r="K1023" t="s">
        <v>36</v>
      </c>
    </row>
    <row r="1024" spans="1:11" x14ac:dyDescent="0.3">
      <c r="A1024" t="s">
        <v>1055</v>
      </c>
      <c r="B1024" s="1">
        <v>43290</v>
      </c>
      <c r="C1024" t="s">
        <v>31</v>
      </c>
      <c r="D1024" t="s">
        <v>28</v>
      </c>
      <c r="E1024">
        <v>22</v>
      </c>
      <c r="F1024">
        <v>16</v>
      </c>
      <c r="G1024">
        <v>352</v>
      </c>
      <c r="H1024">
        <v>0.03</v>
      </c>
      <c r="I1024">
        <v>10.559999999999999</v>
      </c>
      <c r="J1024">
        <v>341</v>
      </c>
      <c r="K1024" t="s">
        <v>38</v>
      </c>
    </row>
    <row r="1025" spans="1:11" x14ac:dyDescent="0.3">
      <c r="A1025" t="s">
        <v>1056</v>
      </c>
      <c r="B1025" s="1">
        <v>43290</v>
      </c>
      <c r="C1025" t="s">
        <v>31</v>
      </c>
      <c r="D1025" t="s">
        <v>25</v>
      </c>
      <c r="E1025">
        <v>9</v>
      </c>
      <c r="F1025">
        <v>16</v>
      </c>
      <c r="G1025">
        <v>144</v>
      </c>
      <c r="H1025">
        <v>0.05</v>
      </c>
      <c r="I1025">
        <v>7.2</v>
      </c>
      <c r="J1025">
        <v>137</v>
      </c>
      <c r="K1025" t="s">
        <v>40</v>
      </c>
    </row>
    <row r="1026" spans="1:11" x14ac:dyDescent="0.3">
      <c r="A1026" t="s">
        <v>1057</v>
      </c>
      <c r="B1026" s="1">
        <v>43290</v>
      </c>
      <c r="C1026" t="s">
        <v>16</v>
      </c>
      <c r="D1026" t="s">
        <v>25</v>
      </c>
      <c r="E1026">
        <v>4</v>
      </c>
      <c r="F1026">
        <v>40</v>
      </c>
      <c r="G1026">
        <v>160</v>
      </c>
      <c r="H1026">
        <v>0.1</v>
      </c>
      <c r="I1026">
        <v>16</v>
      </c>
      <c r="J1026">
        <v>144</v>
      </c>
      <c r="K1026" t="s">
        <v>42</v>
      </c>
    </row>
    <row r="1027" spans="1:11" x14ac:dyDescent="0.3">
      <c r="A1027" t="s">
        <v>1058</v>
      </c>
      <c r="B1027" s="1">
        <v>43290</v>
      </c>
      <c r="C1027" t="s">
        <v>12</v>
      </c>
      <c r="D1027" t="s">
        <v>32</v>
      </c>
      <c r="E1027">
        <v>9</v>
      </c>
      <c r="F1027">
        <v>80</v>
      </c>
      <c r="G1027">
        <v>720</v>
      </c>
      <c r="H1027">
        <v>0.02</v>
      </c>
      <c r="I1027">
        <v>14.4</v>
      </c>
      <c r="J1027">
        <v>706</v>
      </c>
      <c r="K1027" t="s">
        <v>44</v>
      </c>
    </row>
    <row r="1028" spans="1:11" x14ac:dyDescent="0.3">
      <c r="A1028" t="s">
        <v>1059</v>
      </c>
      <c r="B1028" s="1">
        <v>43290</v>
      </c>
      <c r="C1028" t="s">
        <v>20</v>
      </c>
      <c r="D1028" t="s">
        <v>25</v>
      </c>
      <c r="E1028">
        <v>6</v>
      </c>
      <c r="F1028">
        <v>230</v>
      </c>
      <c r="G1028">
        <v>1380</v>
      </c>
      <c r="H1028">
        <v>0.05</v>
      </c>
      <c r="I1028">
        <v>69</v>
      </c>
      <c r="J1028">
        <v>1311</v>
      </c>
      <c r="K1028" t="s">
        <v>14</v>
      </c>
    </row>
    <row r="1029" spans="1:11" x14ac:dyDescent="0.3">
      <c r="A1029" t="s">
        <v>1060</v>
      </c>
      <c r="B1029" s="1">
        <v>43290</v>
      </c>
      <c r="C1029" t="s">
        <v>12</v>
      </c>
      <c r="D1029" t="s">
        <v>28</v>
      </c>
      <c r="E1029">
        <v>14</v>
      </c>
      <c r="F1029">
        <v>80</v>
      </c>
      <c r="G1029">
        <v>1120</v>
      </c>
      <c r="H1029">
        <v>0.05</v>
      </c>
      <c r="I1029">
        <v>56</v>
      </c>
      <c r="J1029">
        <v>1064</v>
      </c>
      <c r="K1029" t="s">
        <v>18</v>
      </c>
    </row>
    <row r="1030" spans="1:11" x14ac:dyDescent="0.3">
      <c r="A1030" t="s">
        <v>1061</v>
      </c>
      <c r="B1030" s="1">
        <v>43290</v>
      </c>
      <c r="C1030" t="s">
        <v>31</v>
      </c>
      <c r="D1030" t="s">
        <v>32</v>
      </c>
      <c r="E1030">
        <v>17</v>
      </c>
      <c r="F1030">
        <v>16</v>
      </c>
      <c r="G1030">
        <v>272</v>
      </c>
      <c r="H1030">
        <v>0.08</v>
      </c>
      <c r="I1030">
        <v>21.76</v>
      </c>
      <c r="J1030">
        <v>250</v>
      </c>
      <c r="K1030" t="s">
        <v>21</v>
      </c>
    </row>
    <row r="1031" spans="1:11" x14ac:dyDescent="0.3">
      <c r="A1031" t="s">
        <v>1062</v>
      </c>
      <c r="B1031" s="1">
        <v>43290</v>
      </c>
      <c r="C1031" t="s">
        <v>35</v>
      </c>
      <c r="D1031" t="s">
        <v>17</v>
      </c>
      <c r="E1031">
        <v>22</v>
      </c>
      <c r="F1031">
        <v>150</v>
      </c>
      <c r="G1031">
        <v>3300</v>
      </c>
      <c r="H1031">
        <v>0.02</v>
      </c>
      <c r="I1031">
        <v>66</v>
      </c>
      <c r="J1031">
        <v>3234</v>
      </c>
      <c r="K1031" t="s">
        <v>23</v>
      </c>
    </row>
    <row r="1032" spans="1:11" x14ac:dyDescent="0.3">
      <c r="A1032" t="s">
        <v>1063</v>
      </c>
      <c r="B1032" s="1">
        <v>43290</v>
      </c>
      <c r="C1032" t="s">
        <v>16</v>
      </c>
      <c r="D1032" t="s">
        <v>32</v>
      </c>
      <c r="E1032">
        <v>17</v>
      </c>
      <c r="F1032">
        <v>40</v>
      </c>
      <c r="G1032">
        <v>680</v>
      </c>
      <c r="H1032">
        <v>0.02</v>
      </c>
      <c r="I1032">
        <v>13.6</v>
      </c>
      <c r="J1032">
        <v>666</v>
      </c>
      <c r="K1032" t="s">
        <v>26</v>
      </c>
    </row>
    <row r="1033" spans="1:11" x14ac:dyDescent="0.3">
      <c r="A1033" t="s">
        <v>1064</v>
      </c>
      <c r="B1033" s="1">
        <v>43290</v>
      </c>
      <c r="C1033" t="s">
        <v>12</v>
      </c>
      <c r="D1033" t="s">
        <v>32</v>
      </c>
      <c r="E1033">
        <v>17</v>
      </c>
      <c r="F1033">
        <v>80</v>
      </c>
      <c r="G1033">
        <v>1360</v>
      </c>
      <c r="H1033">
        <v>7.0000000000000007E-2</v>
      </c>
      <c r="I1033">
        <v>95.2</v>
      </c>
      <c r="J1033">
        <v>1265</v>
      </c>
      <c r="K1033" t="s">
        <v>29</v>
      </c>
    </row>
    <row r="1034" spans="1:11" x14ac:dyDescent="0.3">
      <c r="A1034" t="s">
        <v>1065</v>
      </c>
      <c r="B1034" s="1">
        <v>43290</v>
      </c>
      <c r="C1034" t="s">
        <v>35</v>
      </c>
      <c r="D1034" t="s">
        <v>28</v>
      </c>
      <c r="E1034">
        <v>4</v>
      </c>
      <c r="F1034">
        <v>150</v>
      </c>
      <c r="G1034">
        <v>600</v>
      </c>
      <c r="H1034">
        <v>0.12</v>
      </c>
      <c r="I1034">
        <v>72</v>
      </c>
      <c r="J1034">
        <v>528</v>
      </c>
      <c r="K1034" t="s">
        <v>18</v>
      </c>
    </row>
    <row r="1035" spans="1:11" x14ac:dyDescent="0.3">
      <c r="A1035" t="s">
        <v>1066</v>
      </c>
      <c r="B1035" s="1">
        <v>43290</v>
      </c>
      <c r="C1035" t="s">
        <v>31</v>
      </c>
      <c r="D1035" t="s">
        <v>28</v>
      </c>
      <c r="E1035">
        <v>14</v>
      </c>
      <c r="F1035">
        <v>16</v>
      </c>
      <c r="G1035">
        <v>224</v>
      </c>
      <c r="H1035">
        <v>0.12</v>
      </c>
      <c r="I1035">
        <v>26.88</v>
      </c>
      <c r="J1035">
        <v>197</v>
      </c>
      <c r="K1035" t="s">
        <v>21</v>
      </c>
    </row>
    <row r="1036" spans="1:11" x14ac:dyDescent="0.3">
      <c r="A1036" t="s">
        <v>1067</v>
      </c>
      <c r="B1036" s="1">
        <v>43290</v>
      </c>
      <c r="C1036" t="s">
        <v>31</v>
      </c>
      <c r="D1036" t="s">
        <v>13</v>
      </c>
      <c r="E1036">
        <v>18</v>
      </c>
      <c r="F1036">
        <v>16</v>
      </c>
      <c r="G1036">
        <v>288</v>
      </c>
      <c r="H1036">
        <v>0.11</v>
      </c>
      <c r="I1036">
        <v>31.68</v>
      </c>
      <c r="J1036">
        <v>256</v>
      </c>
      <c r="K1036" t="s">
        <v>23</v>
      </c>
    </row>
    <row r="1037" spans="1:11" x14ac:dyDescent="0.3">
      <c r="A1037" t="s">
        <v>1068</v>
      </c>
      <c r="B1037" s="1">
        <v>43290</v>
      </c>
      <c r="C1037" t="s">
        <v>12</v>
      </c>
      <c r="D1037" t="s">
        <v>32</v>
      </c>
      <c r="E1037">
        <v>22</v>
      </c>
      <c r="F1037">
        <v>80</v>
      </c>
      <c r="G1037">
        <v>1760</v>
      </c>
      <c r="H1037">
        <v>0.09</v>
      </c>
      <c r="I1037">
        <v>158.4</v>
      </c>
      <c r="J1037">
        <v>1602</v>
      </c>
      <c r="K1037" t="s">
        <v>26</v>
      </c>
    </row>
    <row r="1038" spans="1:11" x14ac:dyDescent="0.3">
      <c r="A1038" t="s">
        <v>1069</v>
      </c>
      <c r="B1038" s="1">
        <v>43290</v>
      </c>
      <c r="C1038" t="s">
        <v>20</v>
      </c>
      <c r="D1038" t="s">
        <v>17</v>
      </c>
      <c r="E1038">
        <v>12</v>
      </c>
      <c r="F1038">
        <v>230</v>
      </c>
      <c r="G1038">
        <v>2760</v>
      </c>
      <c r="H1038">
        <v>0.03</v>
      </c>
      <c r="I1038">
        <v>82.8</v>
      </c>
      <c r="J1038">
        <v>2677</v>
      </c>
      <c r="K1038" t="s">
        <v>29</v>
      </c>
    </row>
    <row r="1039" spans="1:11" x14ac:dyDescent="0.3">
      <c r="A1039" t="s">
        <v>1070</v>
      </c>
      <c r="B1039" s="1">
        <v>43290</v>
      </c>
      <c r="C1039" t="s">
        <v>16</v>
      </c>
      <c r="D1039" t="s">
        <v>17</v>
      </c>
      <c r="E1039">
        <v>12</v>
      </c>
      <c r="F1039">
        <v>40</v>
      </c>
      <c r="G1039">
        <v>480</v>
      </c>
      <c r="H1039">
        <v>0.1</v>
      </c>
      <c r="I1039">
        <v>48</v>
      </c>
      <c r="J1039">
        <v>432</v>
      </c>
      <c r="K1039" t="s">
        <v>33</v>
      </c>
    </row>
    <row r="1040" spans="1:11" x14ac:dyDescent="0.3">
      <c r="A1040" t="s">
        <v>1071</v>
      </c>
      <c r="B1040" s="1">
        <v>43291</v>
      </c>
      <c r="C1040" t="s">
        <v>16</v>
      </c>
      <c r="D1040" t="s">
        <v>32</v>
      </c>
      <c r="E1040">
        <v>7</v>
      </c>
      <c r="F1040">
        <v>40</v>
      </c>
      <c r="G1040">
        <v>280</v>
      </c>
      <c r="H1040">
        <v>0.12</v>
      </c>
      <c r="I1040">
        <v>33.6</v>
      </c>
      <c r="J1040">
        <v>246</v>
      </c>
      <c r="K1040" t="s">
        <v>36</v>
      </c>
    </row>
    <row r="1041" spans="1:11" x14ac:dyDescent="0.3">
      <c r="A1041" t="s">
        <v>1072</v>
      </c>
      <c r="B1041" s="1">
        <v>43291</v>
      </c>
      <c r="C1041" t="s">
        <v>12</v>
      </c>
      <c r="D1041" t="s">
        <v>13</v>
      </c>
      <c r="E1041">
        <v>12</v>
      </c>
      <c r="F1041">
        <v>80</v>
      </c>
      <c r="G1041">
        <v>960</v>
      </c>
      <c r="H1041">
        <v>0.04</v>
      </c>
      <c r="I1041">
        <v>38.4</v>
      </c>
      <c r="J1041">
        <v>922</v>
      </c>
      <c r="K1041" t="s">
        <v>38</v>
      </c>
    </row>
    <row r="1042" spans="1:11" x14ac:dyDescent="0.3">
      <c r="A1042" t="s">
        <v>1073</v>
      </c>
      <c r="B1042" s="1">
        <v>43291</v>
      </c>
      <c r="C1042" t="s">
        <v>31</v>
      </c>
      <c r="D1042" t="s">
        <v>32</v>
      </c>
      <c r="E1042">
        <v>17</v>
      </c>
      <c r="F1042">
        <v>16</v>
      </c>
      <c r="G1042">
        <v>272</v>
      </c>
      <c r="H1042">
        <v>0.1</v>
      </c>
      <c r="I1042">
        <v>27.200000000000003</v>
      </c>
      <c r="J1042">
        <v>245</v>
      </c>
      <c r="K1042" t="s">
        <v>40</v>
      </c>
    </row>
    <row r="1043" spans="1:11" x14ac:dyDescent="0.3">
      <c r="A1043" t="s">
        <v>1074</v>
      </c>
      <c r="B1043" s="1">
        <v>43291</v>
      </c>
      <c r="C1043" t="s">
        <v>20</v>
      </c>
      <c r="D1043" t="s">
        <v>17</v>
      </c>
      <c r="E1043">
        <v>6</v>
      </c>
      <c r="F1043">
        <v>230</v>
      </c>
      <c r="G1043">
        <v>1380</v>
      </c>
      <c r="H1043">
        <v>0.1</v>
      </c>
      <c r="I1043">
        <v>138</v>
      </c>
      <c r="J1043">
        <v>1242</v>
      </c>
      <c r="K1043" t="s">
        <v>42</v>
      </c>
    </row>
    <row r="1044" spans="1:11" x14ac:dyDescent="0.3">
      <c r="A1044" t="s">
        <v>1075</v>
      </c>
      <c r="B1044" s="1">
        <v>43291</v>
      </c>
      <c r="C1044" t="s">
        <v>16</v>
      </c>
      <c r="D1044" t="s">
        <v>13</v>
      </c>
      <c r="E1044">
        <v>11</v>
      </c>
      <c r="F1044">
        <v>40</v>
      </c>
      <c r="G1044">
        <v>440</v>
      </c>
      <c r="H1044">
        <v>0.04</v>
      </c>
      <c r="I1044">
        <v>17.600000000000001</v>
      </c>
      <c r="J1044">
        <v>422</v>
      </c>
      <c r="K1044" t="s">
        <v>44</v>
      </c>
    </row>
    <row r="1045" spans="1:11" x14ac:dyDescent="0.3">
      <c r="A1045" t="s">
        <v>1076</v>
      </c>
      <c r="B1045" s="1">
        <v>43291</v>
      </c>
      <c r="C1045" t="s">
        <v>31</v>
      </c>
      <c r="D1045" t="s">
        <v>28</v>
      </c>
      <c r="E1045">
        <v>10</v>
      </c>
      <c r="F1045">
        <v>16</v>
      </c>
      <c r="G1045">
        <v>160</v>
      </c>
      <c r="H1045">
        <v>0.04</v>
      </c>
      <c r="I1045">
        <v>6.4</v>
      </c>
      <c r="J1045">
        <v>154</v>
      </c>
      <c r="K1045" t="s">
        <v>14</v>
      </c>
    </row>
    <row r="1046" spans="1:11" x14ac:dyDescent="0.3">
      <c r="A1046" t="s">
        <v>1077</v>
      </c>
      <c r="B1046" s="1">
        <v>43291</v>
      </c>
      <c r="C1046" t="s">
        <v>12</v>
      </c>
      <c r="D1046" t="s">
        <v>13</v>
      </c>
      <c r="E1046">
        <v>6</v>
      </c>
      <c r="F1046">
        <v>80</v>
      </c>
      <c r="G1046">
        <v>480</v>
      </c>
      <c r="H1046">
        <v>7.0000000000000007E-2</v>
      </c>
      <c r="I1046">
        <v>33.6</v>
      </c>
      <c r="J1046">
        <v>446</v>
      </c>
      <c r="K1046" t="s">
        <v>18</v>
      </c>
    </row>
    <row r="1047" spans="1:11" x14ac:dyDescent="0.3">
      <c r="A1047" t="s">
        <v>1078</v>
      </c>
      <c r="B1047" s="1">
        <v>43291</v>
      </c>
      <c r="C1047" t="s">
        <v>16</v>
      </c>
      <c r="D1047" t="s">
        <v>28</v>
      </c>
      <c r="E1047">
        <v>11</v>
      </c>
      <c r="F1047">
        <v>40</v>
      </c>
      <c r="G1047">
        <v>440</v>
      </c>
      <c r="H1047">
        <v>0.09</v>
      </c>
      <c r="I1047">
        <v>39.6</v>
      </c>
      <c r="J1047">
        <v>400</v>
      </c>
      <c r="K1047" t="s">
        <v>21</v>
      </c>
    </row>
    <row r="1048" spans="1:11" x14ac:dyDescent="0.3">
      <c r="A1048" t="s">
        <v>1079</v>
      </c>
      <c r="B1048" s="1">
        <v>43291</v>
      </c>
      <c r="C1048" t="s">
        <v>12</v>
      </c>
      <c r="D1048" t="s">
        <v>32</v>
      </c>
      <c r="E1048">
        <v>16</v>
      </c>
      <c r="F1048">
        <v>80</v>
      </c>
      <c r="G1048">
        <v>1280</v>
      </c>
      <c r="H1048">
        <v>0.09</v>
      </c>
      <c r="I1048">
        <v>115.19999999999999</v>
      </c>
      <c r="J1048">
        <v>1165</v>
      </c>
      <c r="K1048" t="s">
        <v>23</v>
      </c>
    </row>
    <row r="1049" spans="1:11" x14ac:dyDescent="0.3">
      <c r="A1049" t="s">
        <v>1080</v>
      </c>
      <c r="B1049" s="1">
        <v>43291</v>
      </c>
      <c r="C1049" t="s">
        <v>16</v>
      </c>
      <c r="D1049" t="s">
        <v>28</v>
      </c>
      <c r="E1049">
        <v>13</v>
      </c>
      <c r="F1049">
        <v>40</v>
      </c>
      <c r="G1049">
        <v>520</v>
      </c>
      <c r="H1049">
        <v>0.09</v>
      </c>
      <c r="I1049">
        <v>46.8</v>
      </c>
      <c r="J1049">
        <v>473</v>
      </c>
      <c r="K1049" t="s">
        <v>26</v>
      </c>
    </row>
    <row r="1050" spans="1:11" x14ac:dyDescent="0.3">
      <c r="A1050" t="s">
        <v>1081</v>
      </c>
      <c r="B1050" s="1">
        <v>43291</v>
      </c>
      <c r="C1050" t="s">
        <v>20</v>
      </c>
      <c r="D1050" t="s">
        <v>13</v>
      </c>
      <c r="E1050">
        <v>5</v>
      </c>
      <c r="F1050">
        <v>230</v>
      </c>
      <c r="G1050">
        <v>1150</v>
      </c>
      <c r="H1050">
        <v>0.1</v>
      </c>
      <c r="I1050">
        <v>115</v>
      </c>
      <c r="J1050">
        <v>1035</v>
      </c>
      <c r="K1050" t="s">
        <v>29</v>
      </c>
    </row>
    <row r="1051" spans="1:11" x14ac:dyDescent="0.3">
      <c r="A1051" t="s">
        <v>1082</v>
      </c>
      <c r="B1051" s="1">
        <v>43292</v>
      </c>
      <c r="C1051" t="s">
        <v>16</v>
      </c>
      <c r="D1051" t="s">
        <v>32</v>
      </c>
      <c r="E1051">
        <v>7</v>
      </c>
      <c r="F1051">
        <v>40</v>
      </c>
      <c r="G1051">
        <v>280</v>
      </c>
      <c r="H1051">
        <v>0.05</v>
      </c>
      <c r="I1051">
        <v>14</v>
      </c>
      <c r="J1051">
        <v>266</v>
      </c>
      <c r="K1051" t="s">
        <v>18</v>
      </c>
    </row>
    <row r="1052" spans="1:11" x14ac:dyDescent="0.3">
      <c r="A1052" t="s">
        <v>1083</v>
      </c>
      <c r="B1052" s="1">
        <v>43292</v>
      </c>
      <c r="C1052" t="s">
        <v>12</v>
      </c>
      <c r="D1052" t="s">
        <v>25</v>
      </c>
      <c r="E1052">
        <v>14</v>
      </c>
      <c r="F1052">
        <v>80</v>
      </c>
      <c r="G1052">
        <v>1120</v>
      </c>
      <c r="H1052">
        <v>0.1</v>
      </c>
      <c r="I1052">
        <v>112</v>
      </c>
      <c r="J1052">
        <v>1008</v>
      </c>
      <c r="K1052" t="s">
        <v>21</v>
      </c>
    </row>
    <row r="1053" spans="1:11" x14ac:dyDescent="0.3">
      <c r="A1053" t="s">
        <v>1084</v>
      </c>
      <c r="B1053" s="1">
        <v>43292</v>
      </c>
      <c r="C1053" t="s">
        <v>31</v>
      </c>
      <c r="D1053" t="s">
        <v>32</v>
      </c>
      <c r="E1053">
        <v>12</v>
      </c>
      <c r="F1053">
        <v>16</v>
      </c>
      <c r="G1053">
        <v>192</v>
      </c>
      <c r="H1053">
        <v>0.04</v>
      </c>
      <c r="I1053">
        <v>7.68</v>
      </c>
      <c r="J1053">
        <v>184</v>
      </c>
      <c r="K1053" t="s">
        <v>23</v>
      </c>
    </row>
    <row r="1054" spans="1:11" x14ac:dyDescent="0.3">
      <c r="A1054" t="s">
        <v>1085</v>
      </c>
      <c r="B1054" s="1">
        <v>43292</v>
      </c>
      <c r="C1054" t="s">
        <v>20</v>
      </c>
      <c r="D1054" t="s">
        <v>25</v>
      </c>
      <c r="E1054">
        <v>14</v>
      </c>
      <c r="F1054">
        <v>230</v>
      </c>
      <c r="G1054">
        <v>3220</v>
      </c>
      <c r="H1054">
        <v>0.03</v>
      </c>
      <c r="I1054">
        <v>96.6</v>
      </c>
      <c r="J1054">
        <v>3123</v>
      </c>
      <c r="K1054" t="s">
        <v>26</v>
      </c>
    </row>
    <row r="1055" spans="1:11" x14ac:dyDescent="0.3">
      <c r="A1055" t="s">
        <v>1086</v>
      </c>
      <c r="B1055" s="1">
        <v>43292</v>
      </c>
      <c r="C1055" t="s">
        <v>12</v>
      </c>
      <c r="D1055" t="s">
        <v>32</v>
      </c>
      <c r="E1055">
        <v>21</v>
      </c>
      <c r="F1055">
        <v>80</v>
      </c>
      <c r="G1055">
        <v>1680</v>
      </c>
      <c r="H1055">
        <v>0.09</v>
      </c>
      <c r="I1055">
        <v>151.19999999999999</v>
      </c>
      <c r="J1055">
        <v>1529</v>
      </c>
      <c r="K1055" t="s">
        <v>29</v>
      </c>
    </row>
    <row r="1056" spans="1:11" x14ac:dyDescent="0.3">
      <c r="A1056" t="s">
        <v>1087</v>
      </c>
      <c r="B1056" s="1">
        <v>43292</v>
      </c>
      <c r="C1056" t="s">
        <v>20</v>
      </c>
      <c r="D1056" t="s">
        <v>25</v>
      </c>
      <c r="E1056">
        <v>5</v>
      </c>
      <c r="F1056">
        <v>230</v>
      </c>
      <c r="G1056">
        <v>1150</v>
      </c>
      <c r="H1056">
        <v>0.1</v>
      </c>
      <c r="I1056">
        <v>115</v>
      </c>
      <c r="J1056">
        <v>1035</v>
      </c>
      <c r="K1056" t="s">
        <v>33</v>
      </c>
    </row>
    <row r="1057" spans="1:11" x14ac:dyDescent="0.3">
      <c r="A1057" t="s">
        <v>1088</v>
      </c>
      <c r="B1057" s="1">
        <v>43292</v>
      </c>
      <c r="C1057" t="s">
        <v>16</v>
      </c>
      <c r="D1057" t="s">
        <v>32</v>
      </c>
      <c r="E1057">
        <v>16</v>
      </c>
      <c r="F1057">
        <v>40</v>
      </c>
      <c r="G1057">
        <v>640</v>
      </c>
      <c r="H1057">
        <v>0.09</v>
      </c>
      <c r="I1057">
        <v>57.599999999999994</v>
      </c>
      <c r="J1057">
        <v>582</v>
      </c>
      <c r="K1057" t="s">
        <v>36</v>
      </c>
    </row>
    <row r="1058" spans="1:11" x14ac:dyDescent="0.3">
      <c r="A1058" t="s">
        <v>1089</v>
      </c>
      <c r="B1058" s="1">
        <v>43292</v>
      </c>
      <c r="C1058" t="s">
        <v>35</v>
      </c>
      <c r="D1058" t="s">
        <v>17</v>
      </c>
      <c r="E1058">
        <v>15</v>
      </c>
      <c r="F1058">
        <v>150</v>
      </c>
      <c r="G1058">
        <v>2250</v>
      </c>
      <c r="H1058">
        <v>0.12</v>
      </c>
      <c r="I1058">
        <v>270</v>
      </c>
      <c r="J1058">
        <v>1980</v>
      </c>
      <c r="K1058" t="s">
        <v>38</v>
      </c>
    </row>
    <row r="1059" spans="1:11" x14ac:dyDescent="0.3">
      <c r="A1059" t="s">
        <v>1090</v>
      </c>
      <c r="B1059" s="1">
        <v>43292</v>
      </c>
      <c r="C1059" t="s">
        <v>31</v>
      </c>
      <c r="D1059" t="s">
        <v>32</v>
      </c>
      <c r="E1059">
        <v>23</v>
      </c>
      <c r="F1059">
        <v>16</v>
      </c>
      <c r="G1059">
        <v>368</v>
      </c>
      <c r="H1059">
        <v>0.01</v>
      </c>
      <c r="I1059">
        <v>3.68</v>
      </c>
      <c r="J1059">
        <v>364</v>
      </c>
      <c r="K1059" t="s">
        <v>40</v>
      </c>
    </row>
    <row r="1060" spans="1:11" x14ac:dyDescent="0.3">
      <c r="A1060" t="s">
        <v>1091</v>
      </c>
      <c r="B1060" s="1">
        <v>43292</v>
      </c>
      <c r="C1060" t="s">
        <v>31</v>
      </c>
      <c r="D1060" t="s">
        <v>17</v>
      </c>
      <c r="E1060">
        <v>22</v>
      </c>
      <c r="F1060">
        <v>16</v>
      </c>
      <c r="G1060">
        <v>352</v>
      </c>
      <c r="H1060">
        <v>0.04</v>
      </c>
      <c r="I1060">
        <v>14.08</v>
      </c>
      <c r="J1060">
        <v>338</v>
      </c>
      <c r="K1060" t="s">
        <v>42</v>
      </c>
    </row>
    <row r="1061" spans="1:11" x14ac:dyDescent="0.3">
      <c r="A1061" t="s">
        <v>1092</v>
      </c>
      <c r="B1061" s="1">
        <v>43292</v>
      </c>
      <c r="C1061" t="s">
        <v>12</v>
      </c>
      <c r="D1061" t="s">
        <v>13</v>
      </c>
      <c r="E1061">
        <v>20</v>
      </c>
      <c r="F1061">
        <v>80</v>
      </c>
      <c r="G1061">
        <v>1600</v>
      </c>
      <c r="H1061">
        <v>0.01</v>
      </c>
      <c r="I1061">
        <v>16</v>
      </c>
      <c r="J1061">
        <v>1584</v>
      </c>
      <c r="K1061" t="s">
        <v>44</v>
      </c>
    </row>
    <row r="1062" spans="1:11" x14ac:dyDescent="0.3">
      <c r="A1062" t="s">
        <v>1093</v>
      </c>
      <c r="B1062" s="1">
        <v>43292</v>
      </c>
      <c r="C1062" t="s">
        <v>16</v>
      </c>
      <c r="D1062" t="s">
        <v>28</v>
      </c>
      <c r="E1062">
        <v>6</v>
      </c>
      <c r="F1062">
        <v>40</v>
      </c>
      <c r="G1062">
        <v>240</v>
      </c>
      <c r="H1062">
        <v>7.0000000000000007E-2</v>
      </c>
      <c r="I1062">
        <v>16.8</v>
      </c>
      <c r="J1062">
        <v>223</v>
      </c>
      <c r="K1062" t="s">
        <v>14</v>
      </c>
    </row>
    <row r="1063" spans="1:11" x14ac:dyDescent="0.3">
      <c r="A1063" t="s">
        <v>1094</v>
      </c>
      <c r="B1063" s="1">
        <v>43293</v>
      </c>
      <c r="C1063" t="s">
        <v>35</v>
      </c>
      <c r="D1063" t="s">
        <v>17</v>
      </c>
      <c r="E1063">
        <v>10</v>
      </c>
      <c r="F1063">
        <v>150</v>
      </c>
      <c r="G1063">
        <v>1500</v>
      </c>
      <c r="H1063">
        <v>0.01</v>
      </c>
      <c r="I1063">
        <v>15</v>
      </c>
      <c r="J1063">
        <v>1485</v>
      </c>
      <c r="K1063" t="s">
        <v>18</v>
      </c>
    </row>
    <row r="1064" spans="1:11" x14ac:dyDescent="0.3">
      <c r="A1064" t="s">
        <v>1095</v>
      </c>
      <c r="B1064" s="1">
        <v>43293</v>
      </c>
      <c r="C1064" t="s">
        <v>12</v>
      </c>
      <c r="D1064" t="s">
        <v>28</v>
      </c>
      <c r="E1064">
        <v>17</v>
      </c>
      <c r="F1064">
        <v>80</v>
      </c>
      <c r="G1064">
        <v>1360</v>
      </c>
      <c r="H1064">
        <v>0.05</v>
      </c>
      <c r="I1064">
        <v>68</v>
      </c>
      <c r="J1064">
        <v>1292</v>
      </c>
      <c r="K1064" t="s">
        <v>21</v>
      </c>
    </row>
    <row r="1065" spans="1:11" x14ac:dyDescent="0.3">
      <c r="A1065" t="s">
        <v>1096</v>
      </c>
      <c r="B1065" s="1">
        <v>43293</v>
      </c>
      <c r="C1065" t="s">
        <v>35</v>
      </c>
      <c r="D1065" t="s">
        <v>13</v>
      </c>
      <c r="E1065">
        <v>13</v>
      </c>
      <c r="F1065">
        <v>150</v>
      </c>
      <c r="G1065">
        <v>1950</v>
      </c>
      <c r="H1065">
        <v>0.05</v>
      </c>
      <c r="I1065">
        <v>97.5</v>
      </c>
      <c r="J1065">
        <v>1852</v>
      </c>
      <c r="K1065" t="s">
        <v>23</v>
      </c>
    </row>
    <row r="1066" spans="1:11" x14ac:dyDescent="0.3">
      <c r="A1066" t="s">
        <v>1097</v>
      </c>
      <c r="B1066" s="1">
        <v>43293</v>
      </c>
      <c r="C1066" t="s">
        <v>20</v>
      </c>
      <c r="D1066" t="s">
        <v>28</v>
      </c>
      <c r="E1066">
        <v>8</v>
      </c>
      <c r="F1066">
        <v>230</v>
      </c>
      <c r="G1066">
        <v>1840</v>
      </c>
      <c r="H1066">
        <v>0.05</v>
      </c>
      <c r="I1066">
        <v>92</v>
      </c>
      <c r="J1066">
        <v>1748</v>
      </c>
      <c r="K1066" t="s">
        <v>26</v>
      </c>
    </row>
    <row r="1067" spans="1:11" x14ac:dyDescent="0.3">
      <c r="A1067" t="s">
        <v>1098</v>
      </c>
      <c r="B1067" s="1">
        <v>43293</v>
      </c>
      <c r="C1067" t="s">
        <v>31</v>
      </c>
      <c r="D1067" t="s">
        <v>13</v>
      </c>
      <c r="E1067">
        <v>10</v>
      </c>
      <c r="F1067">
        <v>16</v>
      </c>
      <c r="G1067">
        <v>160</v>
      </c>
      <c r="H1067">
        <v>0.08</v>
      </c>
      <c r="I1067">
        <v>12.8</v>
      </c>
      <c r="J1067">
        <v>147</v>
      </c>
      <c r="K1067" t="s">
        <v>29</v>
      </c>
    </row>
    <row r="1068" spans="1:11" x14ac:dyDescent="0.3">
      <c r="A1068" t="s">
        <v>1099</v>
      </c>
      <c r="B1068" s="1">
        <v>43293</v>
      </c>
      <c r="C1068" t="s">
        <v>16</v>
      </c>
      <c r="D1068" t="s">
        <v>17</v>
      </c>
      <c r="E1068">
        <v>4</v>
      </c>
      <c r="F1068">
        <v>40</v>
      </c>
      <c r="G1068">
        <v>160</v>
      </c>
      <c r="H1068">
        <v>0.06</v>
      </c>
      <c r="I1068">
        <v>9.6</v>
      </c>
      <c r="J1068">
        <v>150</v>
      </c>
      <c r="K1068" t="s">
        <v>18</v>
      </c>
    </row>
    <row r="1069" spans="1:11" x14ac:dyDescent="0.3">
      <c r="A1069" t="s">
        <v>1100</v>
      </c>
      <c r="B1069" s="1">
        <v>43293</v>
      </c>
      <c r="C1069" t="s">
        <v>16</v>
      </c>
      <c r="D1069" t="s">
        <v>32</v>
      </c>
      <c r="E1069">
        <v>18</v>
      </c>
      <c r="F1069">
        <v>40</v>
      </c>
      <c r="G1069">
        <v>720</v>
      </c>
      <c r="H1069">
        <v>0.06</v>
      </c>
      <c r="I1069">
        <v>43.199999999999996</v>
      </c>
      <c r="J1069">
        <v>677</v>
      </c>
      <c r="K1069" t="s">
        <v>21</v>
      </c>
    </row>
    <row r="1070" spans="1:11" x14ac:dyDescent="0.3">
      <c r="A1070" t="s">
        <v>1101</v>
      </c>
      <c r="B1070" s="1">
        <v>43293</v>
      </c>
      <c r="C1070" t="s">
        <v>35</v>
      </c>
      <c r="D1070" t="s">
        <v>28</v>
      </c>
      <c r="E1070">
        <v>15</v>
      </c>
      <c r="F1070">
        <v>150</v>
      </c>
      <c r="G1070">
        <v>2250</v>
      </c>
      <c r="H1070">
        <v>0.05</v>
      </c>
      <c r="I1070">
        <v>112.5</v>
      </c>
      <c r="J1070">
        <v>2138</v>
      </c>
      <c r="K1070" t="s">
        <v>23</v>
      </c>
    </row>
    <row r="1071" spans="1:11" x14ac:dyDescent="0.3">
      <c r="A1071" t="s">
        <v>1102</v>
      </c>
      <c r="B1071" s="1">
        <v>43293</v>
      </c>
      <c r="C1071" t="s">
        <v>35</v>
      </c>
      <c r="D1071" t="s">
        <v>28</v>
      </c>
      <c r="E1071">
        <v>3</v>
      </c>
      <c r="F1071">
        <v>150</v>
      </c>
      <c r="G1071">
        <v>450</v>
      </c>
      <c r="H1071">
        <v>0.01</v>
      </c>
      <c r="I1071">
        <v>4.5</v>
      </c>
      <c r="J1071">
        <v>446</v>
      </c>
      <c r="K1071" t="s">
        <v>26</v>
      </c>
    </row>
    <row r="1072" spans="1:11" x14ac:dyDescent="0.3">
      <c r="A1072" t="s">
        <v>1103</v>
      </c>
      <c r="B1072" s="1">
        <v>43293</v>
      </c>
      <c r="C1072" t="s">
        <v>31</v>
      </c>
      <c r="D1072" t="s">
        <v>13</v>
      </c>
      <c r="E1072">
        <v>12</v>
      </c>
      <c r="F1072">
        <v>16</v>
      </c>
      <c r="G1072">
        <v>192</v>
      </c>
      <c r="H1072">
        <v>0.11</v>
      </c>
      <c r="I1072">
        <v>21.12</v>
      </c>
      <c r="J1072">
        <v>171</v>
      </c>
      <c r="K1072" t="s">
        <v>29</v>
      </c>
    </row>
    <row r="1073" spans="1:11" x14ac:dyDescent="0.3">
      <c r="A1073" t="s">
        <v>1104</v>
      </c>
      <c r="B1073" s="1">
        <v>43294</v>
      </c>
      <c r="C1073" t="s">
        <v>12</v>
      </c>
      <c r="D1073" t="s">
        <v>32</v>
      </c>
      <c r="E1073">
        <v>17</v>
      </c>
      <c r="F1073">
        <v>80</v>
      </c>
      <c r="G1073">
        <v>1360</v>
      </c>
      <c r="H1073">
        <v>7.0000000000000007E-2</v>
      </c>
      <c r="I1073">
        <v>95.2</v>
      </c>
      <c r="J1073">
        <v>1265</v>
      </c>
      <c r="K1073" t="s">
        <v>33</v>
      </c>
    </row>
    <row r="1074" spans="1:11" x14ac:dyDescent="0.3">
      <c r="A1074" t="s">
        <v>1105</v>
      </c>
      <c r="B1074" s="1">
        <v>43294</v>
      </c>
      <c r="C1074" t="s">
        <v>20</v>
      </c>
      <c r="D1074" t="s">
        <v>13</v>
      </c>
      <c r="E1074">
        <v>3</v>
      </c>
      <c r="F1074">
        <v>230</v>
      </c>
      <c r="G1074">
        <v>690</v>
      </c>
      <c r="H1074">
        <v>0.06</v>
      </c>
      <c r="I1074">
        <v>41.4</v>
      </c>
      <c r="J1074">
        <v>649</v>
      </c>
      <c r="K1074" t="s">
        <v>36</v>
      </c>
    </row>
    <row r="1075" spans="1:11" x14ac:dyDescent="0.3">
      <c r="A1075" t="s">
        <v>1106</v>
      </c>
      <c r="B1075" s="1">
        <v>43294</v>
      </c>
      <c r="C1075" t="s">
        <v>12</v>
      </c>
      <c r="D1075" t="s">
        <v>25</v>
      </c>
      <c r="E1075">
        <v>20</v>
      </c>
      <c r="F1075">
        <v>80</v>
      </c>
      <c r="G1075">
        <v>1600</v>
      </c>
      <c r="H1075">
        <v>7.0000000000000007E-2</v>
      </c>
      <c r="I1075">
        <v>112.00000000000001</v>
      </c>
      <c r="J1075">
        <v>1488</v>
      </c>
      <c r="K1075" t="s">
        <v>38</v>
      </c>
    </row>
    <row r="1076" spans="1:11" x14ac:dyDescent="0.3">
      <c r="A1076" t="s">
        <v>1107</v>
      </c>
      <c r="B1076" s="1">
        <v>43294</v>
      </c>
      <c r="C1076" t="s">
        <v>20</v>
      </c>
      <c r="D1076" t="s">
        <v>17</v>
      </c>
      <c r="E1076">
        <v>14</v>
      </c>
      <c r="F1076">
        <v>230</v>
      </c>
      <c r="G1076">
        <v>3220</v>
      </c>
      <c r="H1076">
        <v>0.05</v>
      </c>
      <c r="I1076">
        <v>161</v>
      </c>
      <c r="J1076">
        <v>3059</v>
      </c>
      <c r="K1076" t="s">
        <v>40</v>
      </c>
    </row>
    <row r="1077" spans="1:11" x14ac:dyDescent="0.3">
      <c r="A1077" t="s">
        <v>1108</v>
      </c>
      <c r="B1077" s="1">
        <v>43294</v>
      </c>
      <c r="C1077" t="s">
        <v>16</v>
      </c>
      <c r="D1077" t="s">
        <v>32</v>
      </c>
      <c r="E1077">
        <v>16</v>
      </c>
      <c r="F1077">
        <v>40</v>
      </c>
      <c r="G1077">
        <v>640</v>
      </c>
      <c r="H1077">
        <v>0.09</v>
      </c>
      <c r="I1077">
        <v>57.599999999999994</v>
      </c>
      <c r="J1077">
        <v>582</v>
      </c>
      <c r="K1077" t="s">
        <v>42</v>
      </c>
    </row>
    <row r="1078" spans="1:11" x14ac:dyDescent="0.3">
      <c r="A1078" t="s">
        <v>1109</v>
      </c>
      <c r="B1078" s="1">
        <v>43294</v>
      </c>
      <c r="C1078" t="s">
        <v>31</v>
      </c>
      <c r="D1078" t="s">
        <v>17</v>
      </c>
      <c r="E1078">
        <v>7</v>
      </c>
      <c r="F1078">
        <v>16</v>
      </c>
      <c r="G1078">
        <v>112</v>
      </c>
      <c r="H1078">
        <v>0.08</v>
      </c>
      <c r="I1078">
        <v>8.9600000000000009</v>
      </c>
      <c r="J1078">
        <v>103</v>
      </c>
      <c r="K1078" t="s">
        <v>44</v>
      </c>
    </row>
    <row r="1079" spans="1:11" x14ac:dyDescent="0.3">
      <c r="A1079" t="s">
        <v>1110</v>
      </c>
      <c r="B1079" s="1">
        <v>43294</v>
      </c>
      <c r="C1079" t="s">
        <v>16</v>
      </c>
      <c r="D1079" t="s">
        <v>17</v>
      </c>
      <c r="E1079">
        <v>19</v>
      </c>
      <c r="F1079">
        <v>40</v>
      </c>
      <c r="G1079">
        <v>760</v>
      </c>
      <c r="H1079">
        <v>0.1</v>
      </c>
      <c r="I1079">
        <v>76</v>
      </c>
      <c r="J1079">
        <v>684</v>
      </c>
      <c r="K1079" t="s">
        <v>14</v>
      </c>
    </row>
    <row r="1080" spans="1:11" x14ac:dyDescent="0.3">
      <c r="A1080" t="s">
        <v>1111</v>
      </c>
      <c r="B1080" s="1">
        <v>43294</v>
      </c>
      <c r="C1080" t="s">
        <v>20</v>
      </c>
      <c r="D1080" t="s">
        <v>28</v>
      </c>
      <c r="E1080">
        <v>7</v>
      </c>
      <c r="F1080">
        <v>230</v>
      </c>
      <c r="G1080">
        <v>1610</v>
      </c>
      <c r="H1080">
        <v>0.06</v>
      </c>
      <c r="I1080">
        <v>96.6</v>
      </c>
      <c r="J1080">
        <v>1513</v>
      </c>
      <c r="K1080" t="s">
        <v>18</v>
      </c>
    </row>
    <row r="1081" spans="1:11" x14ac:dyDescent="0.3">
      <c r="A1081" t="s">
        <v>1112</v>
      </c>
      <c r="B1081" s="1">
        <v>43294</v>
      </c>
      <c r="C1081" t="s">
        <v>16</v>
      </c>
      <c r="D1081" t="s">
        <v>32</v>
      </c>
      <c r="E1081">
        <v>20</v>
      </c>
      <c r="F1081">
        <v>40</v>
      </c>
      <c r="G1081">
        <v>800</v>
      </c>
      <c r="H1081">
        <v>0.03</v>
      </c>
      <c r="I1081">
        <v>24</v>
      </c>
      <c r="J1081">
        <v>776</v>
      </c>
      <c r="K1081" t="s">
        <v>21</v>
      </c>
    </row>
    <row r="1082" spans="1:11" x14ac:dyDescent="0.3">
      <c r="A1082" t="s">
        <v>1113</v>
      </c>
      <c r="B1082" s="1">
        <v>43294</v>
      </c>
      <c r="C1082" t="s">
        <v>31</v>
      </c>
      <c r="D1082" t="s">
        <v>25</v>
      </c>
      <c r="E1082">
        <v>11</v>
      </c>
      <c r="F1082">
        <v>16</v>
      </c>
      <c r="G1082">
        <v>176</v>
      </c>
      <c r="H1082">
        <v>0.12</v>
      </c>
      <c r="I1082">
        <v>21.119999999999997</v>
      </c>
      <c r="J1082">
        <v>155</v>
      </c>
      <c r="K1082" t="s">
        <v>23</v>
      </c>
    </row>
    <row r="1083" spans="1:11" x14ac:dyDescent="0.3">
      <c r="A1083" t="s">
        <v>1114</v>
      </c>
      <c r="B1083" s="1">
        <v>43294</v>
      </c>
      <c r="C1083" t="s">
        <v>12</v>
      </c>
      <c r="D1083" t="s">
        <v>32</v>
      </c>
      <c r="E1083">
        <v>16</v>
      </c>
      <c r="F1083">
        <v>80</v>
      </c>
      <c r="G1083">
        <v>1280</v>
      </c>
      <c r="H1083">
        <v>0.09</v>
      </c>
      <c r="I1083">
        <v>115.19999999999999</v>
      </c>
      <c r="J1083">
        <v>1165</v>
      </c>
      <c r="K1083" t="s">
        <v>26</v>
      </c>
    </row>
    <row r="1084" spans="1:11" x14ac:dyDescent="0.3">
      <c r="A1084" t="s">
        <v>1115</v>
      </c>
      <c r="B1084" s="1">
        <v>43294</v>
      </c>
      <c r="C1084" t="s">
        <v>31</v>
      </c>
      <c r="D1084" t="s">
        <v>13</v>
      </c>
      <c r="E1084">
        <v>21</v>
      </c>
      <c r="F1084">
        <v>16</v>
      </c>
      <c r="G1084">
        <v>336</v>
      </c>
      <c r="H1084">
        <v>0.09</v>
      </c>
      <c r="I1084">
        <v>30.24</v>
      </c>
      <c r="J1084">
        <v>306</v>
      </c>
      <c r="K1084" t="s">
        <v>29</v>
      </c>
    </row>
    <row r="1085" spans="1:11" x14ac:dyDescent="0.3">
      <c r="A1085" t="s">
        <v>1116</v>
      </c>
      <c r="B1085" s="1">
        <v>43294</v>
      </c>
      <c r="C1085" t="s">
        <v>31</v>
      </c>
      <c r="D1085" t="s">
        <v>13</v>
      </c>
      <c r="E1085">
        <v>22</v>
      </c>
      <c r="F1085">
        <v>16</v>
      </c>
      <c r="G1085">
        <v>352</v>
      </c>
      <c r="H1085">
        <v>0.01</v>
      </c>
      <c r="I1085">
        <v>3.52</v>
      </c>
      <c r="J1085">
        <v>348</v>
      </c>
      <c r="K1085" t="s">
        <v>18</v>
      </c>
    </row>
    <row r="1086" spans="1:11" x14ac:dyDescent="0.3">
      <c r="A1086" t="s">
        <v>1117</v>
      </c>
      <c r="B1086" s="1">
        <v>43294</v>
      </c>
      <c r="C1086" t="s">
        <v>20</v>
      </c>
      <c r="D1086" t="s">
        <v>28</v>
      </c>
      <c r="E1086">
        <v>23</v>
      </c>
      <c r="F1086">
        <v>230</v>
      </c>
      <c r="G1086">
        <v>5290</v>
      </c>
      <c r="H1086">
        <v>0.06</v>
      </c>
      <c r="I1086">
        <v>317.39999999999998</v>
      </c>
      <c r="J1086">
        <v>4973</v>
      </c>
      <c r="K1086" t="s">
        <v>21</v>
      </c>
    </row>
    <row r="1087" spans="1:11" x14ac:dyDescent="0.3">
      <c r="A1087" t="s">
        <v>1118</v>
      </c>
      <c r="B1087" s="1">
        <v>43294</v>
      </c>
      <c r="C1087" t="s">
        <v>35</v>
      </c>
      <c r="D1087" t="s">
        <v>13</v>
      </c>
      <c r="E1087">
        <v>9</v>
      </c>
      <c r="F1087">
        <v>150</v>
      </c>
      <c r="G1087">
        <v>1350</v>
      </c>
      <c r="H1087">
        <v>0.1</v>
      </c>
      <c r="I1087">
        <v>135</v>
      </c>
      <c r="J1087">
        <v>1215</v>
      </c>
      <c r="K1087" t="s">
        <v>23</v>
      </c>
    </row>
    <row r="1088" spans="1:11" x14ac:dyDescent="0.3">
      <c r="A1088" t="s">
        <v>1119</v>
      </c>
      <c r="B1088" s="1">
        <v>43294</v>
      </c>
      <c r="C1088" t="s">
        <v>35</v>
      </c>
      <c r="D1088" t="s">
        <v>25</v>
      </c>
      <c r="E1088">
        <v>9</v>
      </c>
      <c r="F1088">
        <v>150</v>
      </c>
      <c r="G1088">
        <v>1350</v>
      </c>
      <c r="H1088">
        <v>0.06</v>
      </c>
      <c r="I1088">
        <v>81</v>
      </c>
      <c r="J1088">
        <v>1269</v>
      </c>
      <c r="K1088" t="s">
        <v>26</v>
      </c>
    </row>
    <row r="1089" spans="1:11" x14ac:dyDescent="0.3">
      <c r="A1089" t="s">
        <v>1120</v>
      </c>
      <c r="B1089" s="1">
        <v>43295</v>
      </c>
      <c r="C1089" t="s">
        <v>20</v>
      </c>
      <c r="D1089" t="s">
        <v>13</v>
      </c>
      <c r="E1089">
        <v>9</v>
      </c>
      <c r="F1089">
        <v>230</v>
      </c>
      <c r="G1089">
        <v>2070</v>
      </c>
      <c r="H1089">
        <v>7.0000000000000007E-2</v>
      </c>
      <c r="I1089">
        <v>144.9</v>
      </c>
      <c r="J1089">
        <v>1925</v>
      </c>
      <c r="K1089" t="s">
        <v>29</v>
      </c>
    </row>
    <row r="1090" spans="1:11" x14ac:dyDescent="0.3">
      <c r="A1090" t="s">
        <v>1121</v>
      </c>
      <c r="B1090" s="1">
        <v>43295</v>
      </c>
      <c r="C1090" t="s">
        <v>12</v>
      </c>
      <c r="D1090" t="s">
        <v>25</v>
      </c>
      <c r="E1090">
        <v>10</v>
      </c>
      <c r="F1090">
        <v>80</v>
      </c>
      <c r="G1090">
        <v>800</v>
      </c>
      <c r="H1090">
        <v>0.08</v>
      </c>
      <c r="I1090">
        <v>64</v>
      </c>
      <c r="J1090">
        <v>736</v>
      </c>
      <c r="K1090" t="s">
        <v>33</v>
      </c>
    </row>
    <row r="1091" spans="1:11" x14ac:dyDescent="0.3">
      <c r="A1091" t="s">
        <v>1122</v>
      </c>
      <c r="B1091" s="1">
        <v>43295</v>
      </c>
      <c r="C1091" t="s">
        <v>31</v>
      </c>
      <c r="D1091" t="s">
        <v>25</v>
      </c>
      <c r="E1091">
        <v>23</v>
      </c>
      <c r="F1091">
        <v>16</v>
      </c>
      <c r="G1091">
        <v>368</v>
      </c>
      <c r="H1091">
        <v>0.11</v>
      </c>
      <c r="I1091">
        <v>40.479999999999997</v>
      </c>
      <c r="J1091">
        <v>328</v>
      </c>
      <c r="K1091" t="s">
        <v>36</v>
      </c>
    </row>
    <row r="1092" spans="1:11" x14ac:dyDescent="0.3">
      <c r="A1092" t="s">
        <v>1123</v>
      </c>
      <c r="B1092" s="1">
        <v>43295</v>
      </c>
      <c r="C1092" t="s">
        <v>12</v>
      </c>
      <c r="D1092" t="s">
        <v>28</v>
      </c>
      <c r="E1092">
        <v>22</v>
      </c>
      <c r="F1092">
        <v>80</v>
      </c>
      <c r="G1092">
        <v>1760</v>
      </c>
      <c r="H1092">
        <v>0.03</v>
      </c>
      <c r="I1092">
        <v>52.8</v>
      </c>
      <c r="J1092">
        <v>1707</v>
      </c>
      <c r="K1092" t="s">
        <v>38</v>
      </c>
    </row>
    <row r="1093" spans="1:11" x14ac:dyDescent="0.3">
      <c r="A1093" t="s">
        <v>1124</v>
      </c>
      <c r="B1093" s="1">
        <v>43295</v>
      </c>
      <c r="C1093" t="s">
        <v>12</v>
      </c>
      <c r="D1093" t="s">
        <v>28</v>
      </c>
      <c r="E1093">
        <v>4</v>
      </c>
      <c r="F1093">
        <v>80</v>
      </c>
      <c r="G1093">
        <v>320</v>
      </c>
      <c r="H1093">
        <v>0.11</v>
      </c>
      <c r="I1093">
        <v>35.200000000000003</v>
      </c>
      <c r="J1093">
        <v>285</v>
      </c>
      <c r="K1093" t="s">
        <v>40</v>
      </c>
    </row>
    <row r="1094" spans="1:11" x14ac:dyDescent="0.3">
      <c r="A1094" t="s">
        <v>1125</v>
      </c>
      <c r="B1094" s="1">
        <v>43295</v>
      </c>
      <c r="C1094" t="s">
        <v>31</v>
      </c>
      <c r="D1094" t="s">
        <v>13</v>
      </c>
      <c r="E1094">
        <v>22</v>
      </c>
      <c r="F1094">
        <v>16</v>
      </c>
      <c r="G1094">
        <v>352</v>
      </c>
      <c r="H1094">
        <v>0.06</v>
      </c>
      <c r="I1094">
        <v>21.119999999999997</v>
      </c>
      <c r="J1094">
        <v>331</v>
      </c>
      <c r="K1094" t="s">
        <v>42</v>
      </c>
    </row>
    <row r="1095" spans="1:11" x14ac:dyDescent="0.3">
      <c r="A1095" t="s">
        <v>1126</v>
      </c>
      <c r="B1095" s="1">
        <v>43295</v>
      </c>
      <c r="C1095" t="s">
        <v>16</v>
      </c>
      <c r="D1095" t="s">
        <v>17</v>
      </c>
      <c r="E1095">
        <v>15</v>
      </c>
      <c r="F1095">
        <v>40</v>
      </c>
      <c r="G1095">
        <v>600</v>
      </c>
      <c r="H1095">
        <v>0.02</v>
      </c>
      <c r="I1095">
        <v>12</v>
      </c>
      <c r="J1095">
        <v>588</v>
      </c>
      <c r="K1095" t="s">
        <v>44</v>
      </c>
    </row>
    <row r="1096" spans="1:11" x14ac:dyDescent="0.3">
      <c r="A1096" t="s">
        <v>1127</v>
      </c>
      <c r="B1096" s="1">
        <v>43295</v>
      </c>
      <c r="C1096" t="s">
        <v>16</v>
      </c>
      <c r="D1096" t="s">
        <v>32</v>
      </c>
      <c r="E1096">
        <v>7</v>
      </c>
      <c r="F1096">
        <v>40</v>
      </c>
      <c r="G1096">
        <v>280</v>
      </c>
      <c r="H1096">
        <v>0.04</v>
      </c>
      <c r="I1096">
        <v>11.200000000000001</v>
      </c>
      <c r="J1096">
        <v>269</v>
      </c>
      <c r="K1096" t="s">
        <v>14</v>
      </c>
    </row>
    <row r="1097" spans="1:11" x14ac:dyDescent="0.3">
      <c r="A1097" t="s">
        <v>1128</v>
      </c>
      <c r="B1097" s="1">
        <v>43295</v>
      </c>
      <c r="C1097" t="s">
        <v>31</v>
      </c>
      <c r="D1097" t="s">
        <v>32</v>
      </c>
      <c r="E1097">
        <v>2</v>
      </c>
      <c r="F1097">
        <v>16</v>
      </c>
      <c r="G1097">
        <v>32</v>
      </c>
      <c r="H1097">
        <v>0.04</v>
      </c>
      <c r="I1097">
        <v>1.28</v>
      </c>
      <c r="J1097">
        <v>31</v>
      </c>
      <c r="K1097" t="s">
        <v>18</v>
      </c>
    </row>
    <row r="1098" spans="1:11" x14ac:dyDescent="0.3">
      <c r="A1098" t="s">
        <v>1129</v>
      </c>
      <c r="B1098" s="1">
        <v>43295</v>
      </c>
      <c r="C1098" t="s">
        <v>12</v>
      </c>
      <c r="D1098" t="s">
        <v>28</v>
      </c>
      <c r="E1098">
        <v>7</v>
      </c>
      <c r="F1098">
        <v>80</v>
      </c>
      <c r="G1098">
        <v>560</v>
      </c>
      <c r="H1098">
        <v>0.02</v>
      </c>
      <c r="I1098">
        <v>11.200000000000001</v>
      </c>
      <c r="J1098">
        <v>549</v>
      </c>
      <c r="K1098" t="s">
        <v>21</v>
      </c>
    </row>
    <row r="1099" spans="1:11" x14ac:dyDescent="0.3">
      <c r="A1099" t="s">
        <v>1130</v>
      </c>
      <c r="B1099" s="1">
        <v>43296</v>
      </c>
      <c r="C1099" t="s">
        <v>31</v>
      </c>
      <c r="D1099" t="s">
        <v>32</v>
      </c>
      <c r="E1099">
        <v>22</v>
      </c>
      <c r="F1099">
        <v>16</v>
      </c>
      <c r="G1099">
        <v>352</v>
      </c>
      <c r="H1099">
        <v>0.12</v>
      </c>
      <c r="I1099">
        <v>42.239999999999995</v>
      </c>
      <c r="J1099">
        <v>310</v>
      </c>
      <c r="K1099" t="s">
        <v>23</v>
      </c>
    </row>
    <row r="1100" spans="1:11" x14ac:dyDescent="0.3">
      <c r="A1100" t="s">
        <v>1131</v>
      </c>
      <c r="B1100" s="1">
        <v>43296</v>
      </c>
      <c r="C1100" t="s">
        <v>16</v>
      </c>
      <c r="D1100" t="s">
        <v>17</v>
      </c>
      <c r="E1100">
        <v>21</v>
      </c>
      <c r="F1100">
        <v>40</v>
      </c>
      <c r="G1100">
        <v>840</v>
      </c>
      <c r="H1100">
        <v>0.03</v>
      </c>
      <c r="I1100">
        <v>25.2</v>
      </c>
      <c r="J1100">
        <v>815</v>
      </c>
      <c r="K1100" t="s">
        <v>26</v>
      </c>
    </row>
    <row r="1101" spans="1:11" x14ac:dyDescent="0.3">
      <c r="A1101" t="s">
        <v>1132</v>
      </c>
      <c r="B1101" s="1">
        <v>43296</v>
      </c>
      <c r="C1101" t="s">
        <v>12</v>
      </c>
      <c r="D1101" t="s">
        <v>13</v>
      </c>
      <c r="E1101">
        <v>6</v>
      </c>
      <c r="F1101">
        <v>80</v>
      </c>
      <c r="G1101">
        <v>480</v>
      </c>
      <c r="H1101">
        <v>0.01</v>
      </c>
      <c r="I1101">
        <v>4.8</v>
      </c>
      <c r="J1101">
        <v>475</v>
      </c>
      <c r="K1101" t="s">
        <v>29</v>
      </c>
    </row>
    <row r="1102" spans="1:11" x14ac:dyDescent="0.3">
      <c r="A1102" t="s">
        <v>1133</v>
      </c>
      <c r="B1102" s="1">
        <v>43296</v>
      </c>
      <c r="C1102" t="s">
        <v>12</v>
      </c>
      <c r="D1102" t="s">
        <v>32</v>
      </c>
      <c r="E1102">
        <v>13</v>
      </c>
      <c r="F1102">
        <v>80</v>
      </c>
      <c r="G1102">
        <v>1040</v>
      </c>
      <c r="H1102">
        <v>0.05</v>
      </c>
      <c r="I1102">
        <v>52</v>
      </c>
      <c r="J1102">
        <v>988</v>
      </c>
      <c r="K1102" t="s">
        <v>18</v>
      </c>
    </row>
    <row r="1103" spans="1:11" x14ac:dyDescent="0.3">
      <c r="A1103" t="s">
        <v>1134</v>
      </c>
      <c r="B1103" s="1">
        <v>43296</v>
      </c>
      <c r="C1103" t="s">
        <v>12</v>
      </c>
      <c r="D1103" t="s">
        <v>28</v>
      </c>
      <c r="E1103">
        <v>11</v>
      </c>
      <c r="F1103">
        <v>80</v>
      </c>
      <c r="G1103">
        <v>880</v>
      </c>
      <c r="H1103">
        <v>0.01</v>
      </c>
      <c r="I1103">
        <v>8.8000000000000007</v>
      </c>
      <c r="J1103">
        <v>871</v>
      </c>
      <c r="K1103" t="s">
        <v>21</v>
      </c>
    </row>
    <row r="1104" spans="1:11" x14ac:dyDescent="0.3">
      <c r="A1104" t="s">
        <v>1135</v>
      </c>
      <c r="B1104" s="1">
        <v>43296</v>
      </c>
      <c r="C1104" t="s">
        <v>16</v>
      </c>
      <c r="D1104" t="s">
        <v>13</v>
      </c>
      <c r="E1104">
        <v>18</v>
      </c>
      <c r="F1104">
        <v>40</v>
      </c>
      <c r="G1104">
        <v>720</v>
      </c>
      <c r="H1104">
        <v>0.06</v>
      </c>
      <c r="I1104">
        <v>43.199999999999996</v>
      </c>
      <c r="J1104">
        <v>677</v>
      </c>
      <c r="K1104" t="s">
        <v>23</v>
      </c>
    </row>
    <row r="1105" spans="1:11" x14ac:dyDescent="0.3">
      <c r="A1105" t="s">
        <v>1136</v>
      </c>
      <c r="B1105" s="1">
        <v>43296</v>
      </c>
      <c r="C1105" t="s">
        <v>35</v>
      </c>
      <c r="D1105" t="s">
        <v>28</v>
      </c>
      <c r="E1105">
        <v>7</v>
      </c>
      <c r="F1105">
        <v>150</v>
      </c>
      <c r="G1105">
        <v>1050</v>
      </c>
      <c r="H1105">
        <v>0.05</v>
      </c>
      <c r="I1105">
        <v>52.5</v>
      </c>
      <c r="J1105">
        <v>998</v>
      </c>
      <c r="K1105" t="s">
        <v>26</v>
      </c>
    </row>
    <row r="1106" spans="1:11" x14ac:dyDescent="0.3">
      <c r="A1106" t="s">
        <v>1137</v>
      </c>
      <c r="B1106" s="1">
        <v>43296</v>
      </c>
      <c r="C1106" t="s">
        <v>16</v>
      </c>
      <c r="D1106" t="s">
        <v>13</v>
      </c>
      <c r="E1106">
        <v>2</v>
      </c>
      <c r="F1106">
        <v>40</v>
      </c>
      <c r="G1106">
        <v>80</v>
      </c>
      <c r="H1106">
        <v>0.12</v>
      </c>
      <c r="I1106">
        <v>9.6</v>
      </c>
      <c r="J1106">
        <v>70</v>
      </c>
      <c r="K1106" t="s">
        <v>29</v>
      </c>
    </row>
    <row r="1107" spans="1:11" x14ac:dyDescent="0.3">
      <c r="A1107" t="s">
        <v>1138</v>
      </c>
      <c r="B1107" s="1">
        <v>43296</v>
      </c>
      <c r="C1107" t="s">
        <v>12</v>
      </c>
      <c r="D1107" t="s">
        <v>17</v>
      </c>
      <c r="E1107">
        <v>14</v>
      </c>
      <c r="F1107">
        <v>80</v>
      </c>
      <c r="G1107">
        <v>1120</v>
      </c>
      <c r="H1107">
        <v>0.06</v>
      </c>
      <c r="I1107">
        <v>67.2</v>
      </c>
      <c r="J1107">
        <v>1053</v>
      </c>
      <c r="K1107" t="s">
        <v>33</v>
      </c>
    </row>
    <row r="1108" spans="1:11" x14ac:dyDescent="0.3">
      <c r="A1108" t="s">
        <v>1139</v>
      </c>
      <c r="B1108" s="1">
        <v>43296</v>
      </c>
      <c r="C1108" t="s">
        <v>35</v>
      </c>
      <c r="D1108" t="s">
        <v>32</v>
      </c>
      <c r="E1108">
        <v>7</v>
      </c>
      <c r="F1108">
        <v>150</v>
      </c>
      <c r="G1108">
        <v>1050</v>
      </c>
      <c r="H1108">
        <v>0.03</v>
      </c>
      <c r="I1108">
        <v>31.5</v>
      </c>
      <c r="J1108">
        <v>1018</v>
      </c>
      <c r="K1108" t="s">
        <v>36</v>
      </c>
    </row>
    <row r="1109" spans="1:11" x14ac:dyDescent="0.3">
      <c r="A1109" t="s">
        <v>1140</v>
      </c>
      <c r="B1109" s="1">
        <v>43296</v>
      </c>
      <c r="C1109" t="s">
        <v>31</v>
      </c>
      <c r="D1109" t="s">
        <v>28</v>
      </c>
      <c r="E1109">
        <v>10</v>
      </c>
      <c r="F1109">
        <v>16</v>
      </c>
      <c r="G1109">
        <v>160</v>
      </c>
      <c r="H1109">
        <v>0.01</v>
      </c>
      <c r="I1109">
        <v>1.6</v>
      </c>
      <c r="J1109">
        <v>158</v>
      </c>
      <c r="K1109" t="s">
        <v>38</v>
      </c>
    </row>
    <row r="1110" spans="1:11" x14ac:dyDescent="0.3">
      <c r="A1110" t="s">
        <v>1141</v>
      </c>
      <c r="B1110" s="1">
        <v>43297</v>
      </c>
      <c r="C1110" t="s">
        <v>16</v>
      </c>
      <c r="D1110" t="s">
        <v>17</v>
      </c>
      <c r="E1110">
        <v>7</v>
      </c>
      <c r="F1110">
        <v>40</v>
      </c>
      <c r="G1110">
        <v>280</v>
      </c>
      <c r="H1110">
        <v>0.01</v>
      </c>
      <c r="I1110">
        <v>2.8000000000000003</v>
      </c>
      <c r="J1110">
        <v>277</v>
      </c>
      <c r="K1110" t="s">
        <v>40</v>
      </c>
    </row>
    <row r="1111" spans="1:11" x14ac:dyDescent="0.3">
      <c r="A1111" t="s">
        <v>1142</v>
      </c>
      <c r="B1111" s="1">
        <v>43297</v>
      </c>
      <c r="C1111" t="s">
        <v>31</v>
      </c>
      <c r="D1111" t="s">
        <v>28</v>
      </c>
      <c r="E1111">
        <v>7</v>
      </c>
      <c r="F1111">
        <v>16</v>
      </c>
      <c r="G1111">
        <v>112</v>
      </c>
      <c r="H1111">
        <v>0.08</v>
      </c>
      <c r="I1111">
        <v>8.9600000000000009</v>
      </c>
      <c r="J1111">
        <v>103</v>
      </c>
      <c r="K1111" t="s">
        <v>42</v>
      </c>
    </row>
    <row r="1112" spans="1:11" x14ac:dyDescent="0.3">
      <c r="A1112" t="s">
        <v>1143</v>
      </c>
      <c r="B1112" s="1">
        <v>43297</v>
      </c>
      <c r="C1112" t="s">
        <v>35</v>
      </c>
      <c r="D1112" t="s">
        <v>25</v>
      </c>
      <c r="E1112">
        <v>15</v>
      </c>
      <c r="F1112">
        <v>150</v>
      </c>
      <c r="G1112">
        <v>2250</v>
      </c>
      <c r="H1112">
        <v>0.05</v>
      </c>
      <c r="I1112">
        <v>112.5</v>
      </c>
      <c r="J1112">
        <v>2138</v>
      </c>
      <c r="K1112" t="s">
        <v>44</v>
      </c>
    </row>
    <row r="1113" spans="1:11" x14ac:dyDescent="0.3">
      <c r="A1113" t="s">
        <v>1144</v>
      </c>
      <c r="B1113" s="1">
        <v>43297</v>
      </c>
      <c r="C1113" t="s">
        <v>12</v>
      </c>
      <c r="D1113" t="s">
        <v>13</v>
      </c>
      <c r="E1113">
        <v>7</v>
      </c>
      <c r="F1113">
        <v>80</v>
      </c>
      <c r="G1113">
        <v>560</v>
      </c>
      <c r="H1113">
        <v>0.02</v>
      </c>
      <c r="I1113">
        <v>11.200000000000001</v>
      </c>
      <c r="J1113">
        <v>549</v>
      </c>
      <c r="K1113" t="s">
        <v>14</v>
      </c>
    </row>
    <row r="1114" spans="1:11" x14ac:dyDescent="0.3">
      <c r="A1114" t="s">
        <v>1145</v>
      </c>
      <c r="B1114" s="1">
        <v>43297</v>
      </c>
      <c r="C1114" t="s">
        <v>16</v>
      </c>
      <c r="D1114" t="s">
        <v>25</v>
      </c>
      <c r="E1114">
        <v>6</v>
      </c>
      <c r="F1114">
        <v>40</v>
      </c>
      <c r="G1114">
        <v>240</v>
      </c>
      <c r="H1114">
        <v>0.06</v>
      </c>
      <c r="I1114">
        <v>14.399999999999999</v>
      </c>
      <c r="J1114">
        <v>226</v>
      </c>
      <c r="K1114" t="s">
        <v>18</v>
      </c>
    </row>
    <row r="1115" spans="1:11" x14ac:dyDescent="0.3">
      <c r="A1115" t="s">
        <v>1146</v>
      </c>
      <c r="B1115" s="1">
        <v>43297</v>
      </c>
      <c r="C1115" t="s">
        <v>20</v>
      </c>
      <c r="D1115" t="s">
        <v>13</v>
      </c>
      <c r="E1115">
        <v>3</v>
      </c>
      <c r="F1115">
        <v>230</v>
      </c>
      <c r="G1115">
        <v>690</v>
      </c>
      <c r="H1115">
        <v>0.06</v>
      </c>
      <c r="I1115">
        <v>41.4</v>
      </c>
      <c r="J1115">
        <v>649</v>
      </c>
      <c r="K1115" t="s">
        <v>21</v>
      </c>
    </row>
    <row r="1116" spans="1:11" x14ac:dyDescent="0.3">
      <c r="A1116" t="s">
        <v>1147</v>
      </c>
      <c r="B1116" s="1">
        <v>43297</v>
      </c>
      <c r="C1116" t="s">
        <v>35</v>
      </c>
      <c r="D1116" t="s">
        <v>25</v>
      </c>
      <c r="E1116">
        <v>20</v>
      </c>
      <c r="F1116">
        <v>150</v>
      </c>
      <c r="G1116">
        <v>3000</v>
      </c>
      <c r="H1116">
        <v>0.04</v>
      </c>
      <c r="I1116">
        <v>120</v>
      </c>
      <c r="J1116">
        <v>2880</v>
      </c>
      <c r="K1116" t="s">
        <v>23</v>
      </c>
    </row>
    <row r="1117" spans="1:11" x14ac:dyDescent="0.3">
      <c r="A1117" t="s">
        <v>1148</v>
      </c>
      <c r="B1117" s="1">
        <v>43297</v>
      </c>
      <c r="C1117" t="s">
        <v>20</v>
      </c>
      <c r="D1117" t="s">
        <v>25</v>
      </c>
      <c r="E1117">
        <v>20</v>
      </c>
      <c r="F1117">
        <v>230</v>
      </c>
      <c r="G1117">
        <v>4600</v>
      </c>
      <c r="H1117">
        <v>0.06</v>
      </c>
      <c r="I1117">
        <v>276</v>
      </c>
      <c r="J1117">
        <v>4324</v>
      </c>
      <c r="K1117" t="s">
        <v>26</v>
      </c>
    </row>
    <row r="1118" spans="1:11" x14ac:dyDescent="0.3">
      <c r="A1118" t="s">
        <v>1149</v>
      </c>
      <c r="B1118" s="1">
        <v>43297</v>
      </c>
      <c r="C1118" t="s">
        <v>31</v>
      </c>
      <c r="D1118" t="s">
        <v>25</v>
      </c>
      <c r="E1118">
        <v>14</v>
      </c>
      <c r="F1118">
        <v>16</v>
      </c>
      <c r="G1118">
        <v>224</v>
      </c>
      <c r="H1118">
        <v>0.01</v>
      </c>
      <c r="I1118">
        <v>2.2400000000000002</v>
      </c>
      <c r="J1118">
        <v>222</v>
      </c>
      <c r="K1118" t="s">
        <v>29</v>
      </c>
    </row>
    <row r="1119" spans="1:11" x14ac:dyDescent="0.3">
      <c r="A1119" t="s">
        <v>1150</v>
      </c>
      <c r="B1119" s="1">
        <v>43297</v>
      </c>
      <c r="C1119" t="s">
        <v>35</v>
      </c>
      <c r="D1119" t="s">
        <v>25</v>
      </c>
      <c r="E1119">
        <v>20</v>
      </c>
      <c r="F1119">
        <v>150</v>
      </c>
      <c r="G1119">
        <v>3000</v>
      </c>
      <c r="H1119">
        <v>0.04</v>
      </c>
      <c r="I1119">
        <v>120</v>
      </c>
      <c r="J1119">
        <v>2880</v>
      </c>
      <c r="K1119" t="s">
        <v>18</v>
      </c>
    </row>
    <row r="1120" spans="1:11" x14ac:dyDescent="0.3">
      <c r="A1120" t="s">
        <v>1151</v>
      </c>
      <c r="B1120" s="1">
        <v>43297</v>
      </c>
      <c r="C1120" t="s">
        <v>12</v>
      </c>
      <c r="D1120" t="s">
        <v>13</v>
      </c>
      <c r="E1120">
        <v>17</v>
      </c>
      <c r="F1120">
        <v>80</v>
      </c>
      <c r="G1120">
        <v>1360</v>
      </c>
      <c r="H1120">
        <v>0.09</v>
      </c>
      <c r="I1120">
        <v>122.39999999999999</v>
      </c>
      <c r="J1120">
        <v>1238</v>
      </c>
      <c r="K1120" t="s">
        <v>21</v>
      </c>
    </row>
    <row r="1121" spans="1:11" x14ac:dyDescent="0.3">
      <c r="A1121" t="s">
        <v>1152</v>
      </c>
      <c r="B1121" s="1">
        <v>43298</v>
      </c>
      <c r="C1121" t="s">
        <v>35</v>
      </c>
      <c r="D1121" t="s">
        <v>25</v>
      </c>
      <c r="E1121">
        <v>20</v>
      </c>
      <c r="F1121">
        <v>150</v>
      </c>
      <c r="G1121">
        <v>3000</v>
      </c>
      <c r="H1121">
        <v>0.12</v>
      </c>
      <c r="I1121">
        <v>360</v>
      </c>
      <c r="J1121">
        <v>2640</v>
      </c>
      <c r="K1121" t="s">
        <v>23</v>
      </c>
    </row>
    <row r="1122" spans="1:11" x14ac:dyDescent="0.3">
      <c r="A1122" t="s">
        <v>1153</v>
      </c>
      <c r="B1122" s="1">
        <v>43298</v>
      </c>
      <c r="C1122" t="s">
        <v>31</v>
      </c>
      <c r="D1122" t="s">
        <v>25</v>
      </c>
      <c r="E1122">
        <v>11</v>
      </c>
      <c r="F1122">
        <v>16</v>
      </c>
      <c r="G1122">
        <v>176</v>
      </c>
      <c r="H1122">
        <v>0.04</v>
      </c>
      <c r="I1122">
        <v>7.04</v>
      </c>
      <c r="J1122">
        <v>169</v>
      </c>
      <c r="K1122" t="s">
        <v>26</v>
      </c>
    </row>
    <row r="1123" spans="1:11" x14ac:dyDescent="0.3">
      <c r="A1123" t="s">
        <v>1154</v>
      </c>
      <c r="B1123" s="1">
        <v>43298</v>
      </c>
      <c r="C1123" t="s">
        <v>20</v>
      </c>
      <c r="D1123" t="s">
        <v>32</v>
      </c>
      <c r="E1123">
        <v>7</v>
      </c>
      <c r="F1123">
        <v>230</v>
      </c>
      <c r="G1123">
        <v>1610</v>
      </c>
      <c r="H1123">
        <v>0.05</v>
      </c>
      <c r="I1123">
        <v>80.5</v>
      </c>
      <c r="J1123">
        <v>1530</v>
      </c>
      <c r="K1123" t="s">
        <v>29</v>
      </c>
    </row>
    <row r="1124" spans="1:11" x14ac:dyDescent="0.3">
      <c r="A1124" t="s">
        <v>1155</v>
      </c>
      <c r="B1124" s="1">
        <v>43298</v>
      </c>
      <c r="C1124" t="s">
        <v>16</v>
      </c>
      <c r="D1124" t="s">
        <v>17</v>
      </c>
      <c r="E1124">
        <v>14</v>
      </c>
      <c r="F1124">
        <v>40</v>
      </c>
      <c r="G1124">
        <v>560</v>
      </c>
      <c r="H1124">
        <v>0.06</v>
      </c>
      <c r="I1124">
        <v>33.6</v>
      </c>
      <c r="J1124">
        <v>526</v>
      </c>
      <c r="K1124" t="s">
        <v>33</v>
      </c>
    </row>
    <row r="1125" spans="1:11" x14ac:dyDescent="0.3">
      <c r="A1125" t="s">
        <v>1156</v>
      </c>
      <c r="B1125" s="1">
        <v>43298</v>
      </c>
      <c r="C1125" t="s">
        <v>12</v>
      </c>
      <c r="D1125" t="s">
        <v>17</v>
      </c>
      <c r="E1125">
        <v>13</v>
      </c>
      <c r="F1125">
        <v>80</v>
      </c>
      <c r="G1125">
        <v>1040</v>
      </c>
      <c r="H1125">
        <v>0.06</v>
      </c>
      <c r="I1125">
        <v>62.4</v>
      </c>
      <c r="J1125">
        <v>978</v>
      </c>
      <c r="K1125" t="s">
        <v>36</v>
      </c>
    </row>
    <row r="1126" spans="1:11" x14ac:dyDescent="0.3">
      <c r="A1126" t="s">
        <v>1157</v>
      </c>
      <c r="B1126" s="1">
        <v>43298</v>
      </c>
      <c r="C1126" t="s">
        <v>31</v>
      </c>
      <c r="D1126" t="s">
        <v>25</v>
      </c>
      <c r="E1126">
        <v>17</v>
      </c>
      <c r="F1126">
        <v>16</v>
      </c>
      <c r="G1126">
        <v>272</v>
      </c>
      <c r="H1126">
        <v>0.05</v>
      </c>
      <c r="I1126">
        <v>13.600000000000001</v>
      </c>
      <c r="J1126">
        <v>258</v>
      </c>
      <c r="K1126" t="s">
        <v>38</v>
      </c>
    </row>
    <row r="1127" spans="1:11" x14ac:dyDescent="0.3">
      <c r="A1127" t="s">
        <v>1158</v>
      </c>
      <c r="B1127" s="1">
        <v>43298</v>
      </c>
      <c r="C1127" t="s">
        <v>20</v>
      </c>
      <c r="D1127" t="s">
        <v>25</v>
      </c>
      <c r="E1127">
        <v>12</v>
      </c>
      <c r="F1127">
        <v>230</v>
      </c>
      <c r="G1127">
        <v>2760</v>
      </c>
      <c r="H1127">
        <v>0.03</v>
      </c>
      <c r="I1127">
        <v>82.8</v>
      </c>
      <c r="J1127">
        <v>2677</v>
      </c>
      <c r="K1127" t="s">
        <v>40</v>
      </c>
    </row>
    <row r="1128" spans="1:11" x14ac:dyDescent="0.3">
      <c r="A1128" t="s">
        <v>1159</v>
      </c>
      <c r="B1128" s="1">
        <v>43298</v>
      </c>
      <c r="C1128" t="s">
        <v>16</v>
      </c>
      <c r="D1128" t="s">
        <v>17</v>
      </c>
      <c r="E1128">
        <v>4</v>
      </c>
      <c r="F1128">
        <v>40</v>
      </c>
      <c r="G1128">
        <v>160</v>
      </c>
      <c r="H1128">
        <v>0.12</v>
      </c>
      <c r="I1128">
        <v>19.2</v>
      </c>
      <c r="J1128">
        <v>141</v>
      </c>
      <c r="K1128" t="s">
        <v>42</v>
      </c>
    </row>
    <row r="1129" spans="1:11" x14ac:dyDescent="0.3">
      <c r="A1129" t="s">
        <v>1160</v>
      </c>
      <c r="B1129" s="1">
        <v>43298</v>
      </c>
      <c r="C1129" t="s">
        <v>31</v>
      </c>
      <c r="D1129" t="s">
        <v>13</v>
      </c>
      <c r="E1129">
        <v>20</v>
      </c>
      <c r="F1129">
        <v>16</v>
      </c>
      <c r="G1129">
        <v>320</v>
      </c>
      <c r="H1129">
        <v>0.01</v>
      </c>
      <c r="I1129">
        <v>3.2</v>
      </c>
      <c r="J1129">
        <v>317</v>
      </c>
      <c r="K1129" t="s">
        <v>44</v>
      </c>
    </row>
    <row r="1130" spans="1:11" x14ac:dyDescent="0.3">
      <c r="A1130" t="s">
        <v>1161</v>
      </c>
      <c r="B1130" s="1">
        <v>43298</v>
      </c>
      <c r="C1130" t="s">
        <v>12</v>
      </c>
      <c r="D1130" t="s">
        <v>28</v>
      </c>
      <c r="E1130">
        <v>8</v>
      </c>
      <c r="F1130">
        <v>80</v>
      </c>
      <c r="G1130">
        <v>640</v>
      </c>
      <c r="H1130">
        <v>0.06</v>
      </c>
      <c r="I1130">
        <v>38.4</v>
      </c>
      <c r="J1130">
        <v>602</v>
      </c>
      <c r="K1130" t="s">
        <v>14</v>
      </c>
    </row>
    <row r="1131" spans="1:11" x14ac:dyDescent="0.3">
      <c r="A1131" t="s">
        <v>1162</v>
      </c>
      <c r="B1131" s="1">
        <v>43298</v>
      </c>
      <c r="C1131" t="s">
        <v>12</v>
      </c>
      <c r="D1131" t="s">
        <v>13</v>
      </c>
      <c r="E1131">
        <v>18</v>
      </c>
      <c r="F1131">
        <v>80</v>
      </c>
      <c r="G1131">
        <v>1440</v>
      </c>
      <c r="H1131">
        <v>0.02</v>
      </c>
      <c r="I1131">
        <v>28.8</v>
      </c>
      <c r="J1131">
        <v>1411</v>
      </c>
      <c r="K1131" t="s">
        <v>18</v>
      </c>
    </row>
    <row r="1132" spans="1:11" x14ac:dyDescent="0.3">
      <c r="A1132" t="s">
        <v>1163</v>
      </c>
      <c r="B1132" s="1">
        <v>43298</v>
      </c>
      <c r="C1132" t="s">
        <v>31</v>
      </c>
      <c r="D1132" t="s">
        <v>25</v>
      </c>
      <c r="E1132">
        <v>6</v>
      </c>
      <c r="F1132">
        <v>16</v>
      </c>
      <c r="G1132">
        <v>96</v>
      </c>
      <c r="H1132">
        <v>0.06</v>
      </c>
      <c r="I1132">
        <v>5.76</v>
      </c>
      <c r="J1132">
        <v>90</v>
      </c>
      <c r="K1132" t="s">
        <v>21</v>
      </c>
    </row>
    <row r="1133" spans="1:11" x14ac:dyDescent="0.3">
      <c r="A1133" t="s">
        <v>1164</v>
      </c>
      <c r="B1133" s="1">
        <v>43298</v>
      </c>
      <c r="C1133" t="s">
        <v>12</v>
      </c>
      <c r="D1133" t="s">
        <v>13</v>
      </c>
      <c r="E1133">
        <v>9</v>
      </c>
      <c r="F1133">
        <v>80</v>
      </c>
      <c r="G1133">
        <v>720</v>
      </c>
      <c r="H1133">
        <v>0.04</v>
      </c>
      <c r="I1133">
        <v>28.8</v>
      </c>
      <c r="J1133">
        <v>691</v>
      </c>
      <c r="K1133" t="s">
        <v>23</v>
      </c>
    </row>
    <row r="1134" spans="1:11" x14ac:dyDescent="0.3">
      <c r="A1134" t="s">
        <v>1165</v>
      </c>
      <c r="B1134" s="1">
        <v>43299</v>
      </c>
      <c r="C1134" t="s">
        <v>12</v>
      </c>
      <c r="D1134" t="s">
        <v>25</v>
      </c>
      <c r="E1134">
        <v>8</v>
      </c>
      <c r="F1134">
        <v>80</v>
      </c>
      <c r="G1134">
        <v>640</v>
      </c>
      <c r="H1134">
        <v>0.02</v>
      </c>
      <c r="I1134">
        <v>12.8</v>
      </c>
      <c r="J1134">
        <v>627</v>
      </c>
      <c r="K1134" t="s">
        <v>26</v>
      </c>
    </row>
    <row r="1135" spans="1:11" x14ac:dyDescent="0.3">
      <c r="A1135" t="s">
        <v>1166</v>
      </c>
      <c r="B1135" s="1">
        <v>43299</v>
      </c>
      <c r="C1135" t="s">
        <v>35</v>
      </c>
      <c r="D1135" t="s">
        <v>28</v>
      </c>
      <c r="E1135">
        <v>6</v>
      </c>
      <c r="F1135">
        <v>150</v>
      </c>
      <c r="G1135">
        <v>900</v>
      </c>
      <c r="H1135">
        <v>0.03</v>
      </c>
      <c r="I1135">
        <v>27</v>
      </c>
      <c r="J1135">
        <v>873</v>
      </c>
      <c r="K1135" t="s">
        <v>29</v>
      </c>
    </row>
    <row r="1136" spans="1:11" x14ac:dyDescent="0.3">
      <c r="A1136" t="s">
        <v>1167</v>
      </c>
      <c r="B1136" s="1">
        <v>43299</v>
      </c>
      <c r="C1136" t="s">
        <v>31</v>
      </c>
      <c r="D1136" t="s">
        <v>28</v>
      </c>
      <c r="E1136">
        <v>14</v>
      </c>
      <c r="F1136">
        <v>16</v>
      </c>
      <c r="G1136">
        <v>224</v>
      </c>
      <c r="H1136">
        <v>0.12</v>
      </c>
      <c r="I1136">
        <v>26.88</v>
      </c>
      <c r="J1136">
        <v>197</v>
      </c>
      <c r="K1136" t="s">
        <v>18</v>
      </c>
    </row>
    <row r="1137" spans="1:11" x14ac:dyDescent="0.3">
      <c r="A1137" t="s">
        <v>1168</v>
      </c>
      <c r="B1137" s="1">
        <v>43299</v>
      </c>
      <c r="C1137" t="s">
        <v>12</v>
      </c>
      <c r="D1137" t="s">
        <v>25</v>
      </c>
      <c r="E1137">
        <v>6</v>
      </c>
      <c r="F1137">
        <v>80</v>
      </c>
      <c r="G1137">
        <v>480</v>
      </c>
      <c r="H1137">
        <v>0.09</v>
      </c>
      <c r="I1137">
        <v>43.199999999999996</v>
      </c>
      <c r="J1137">
        <v>437</v>
      </c>
      <c r="K1137" t="s">
        <v>21</v>
      </c>
    </row>
    <row r="1138" spans="1:11" x14ac:dyDescent="0.3">
      <c r="A1138" t="s">
        <v>1169</v>
      </c>
      <c r="B1138" s="1">
        <v>43299</v>
      </c>
      <c r="C1138" t="s">
        <v>16</v>
      </c>
      <c r="D1138" t="s">
        <v>32</v>
      </c>
      <c r="E1138">
        <v>23</v>
      </c>
      <c r="F1138">
        <v>40</v>
      </c>
      <c r="G1138">
        <v>920</v>
      </c>
      <c r="H1138">
        <v>0.04</v>
      </c>
      <c r="I1138">
        <v>36.800000000000004</v>
      </c>
      <c r="J1138">
        <v>883</v>
      </c>
      <c r="K1138" t="s">
        <v>23</v>
      </c>
    </row>
    <row r="1139" spans="1:11" x14ac:dyDescent="0.3">
      <c r="A1139" t="s">
        <v>1170</v>
      </c>
      <c r="B1139" s="1">
        <v>43299</v>
      </c>
      <c r="C1139" t="s">
        <v>16</v>
      </c>
      <c r="D1139" t="s">
        <v>25</v>
      </c>
      <c r="E1139">
        <v>12</v>
      </c>
      <c r="F1139">
        <v>40</v>
      </c>
      <c r="G1139">
        <v>480</v>
      </c>
      <c r="H1139">
        <v>0.02</v>
      </c>
      <c r="I1139">
        <v>9.6</v>
      </c>
      <c r="J1139">
        <v>470</v>
      </c>
      <c r="K1139" t="s">
        <v>26</v>
      </c>
    </row>
    <row r="1140" spans="1:11" x14ac:dyDescent="0.3">
      <c r="A1140" t="s">
        <v>1171</v>
      </c>
      <c r="B1140" s="1">
        <v>43299</v>
      </c>
      <c r="C1140" t="s">
        <v>16</v>
      </c>
      <c r="D1140" t="s">
        <v>28</v>
      </c>
      <c r="E1140">
        <v>22</v>
      </c>
      <c r="F1140">
        <v>40</v>
      </c>
      <c r="G1140">
        <v>880</v>
      </c>
      <c r="H1140">
        <v>0.01</v>
      </c>
      <c r="I1140">
        <v>8.8000000000000007</v>
      </c>
      <c r="J1140">
        <v>871</v>
      </c>
      <c r="K1140" t="s">
        <v>29</v>
      </c>
    </row>
    <row r="1141" spans="1:11" x14ac:dyDescent="0.3">
      <c r="A1141" t="s">
        <v>1172</v>
      </c>
      <c r="B1141" s="1">
        <v>43299</v>
      </c>
      <c r="C1141" t="s">
        <v>35</v>
      </c>
      <c r="D1141" t="s">
        <v>28</v>
      </c>
      <c r="E1141">
        <v>6</v>
      </c>
      <c r="F1141">
        <v>150</v>
      </c>
      <c r="G1141">
        <v>900</v>
      </c>
      <c r="H1141">
        <v>0.03</v>
      </c>
      <c r="I1141">
        <v>27</v>
      </c>
      <c r="J1141">
        <v>873</v>
      </c>
      <c r="K1141" t="s">
        <v>33</v>
      </c>
    </row>
    <row r="1142" spans="1:11" x14ac:dyDescent="0.3">
      <c r="A1142" t="s">
        <v>1173</v>
      </c>
      <c r="B1142" s="1">
        <v>43299</v>
      </c>
      <c r="C1142" t="s">
        <v>31</v>
      </c>
      <c r="D1142" t="s">
        <v>32</v>
      </c>
      <c r="E1142">
        <v>19</v>
      </c>
      <c r="F1142">
        <v>16</v>
      </c>
      <c r="G1142">
        <v>304</v>
      </c>
      <c r="H1142">
        <v>0.02</v>
      </c>
      <c r="I1142">
        <v>6.08</v>
      </c>
      <c r="J1142">
        <v>298</v>
      </c>
      <c r="K1142" t="s">
        <v>36</v>
      </c>
    </row>
    <row r="1143" spans="1:11" x14ac:dyDescent="0.3">
      <c r="A1143" t="s">
        <v>1174</v>
      </c>
      <c r="B1143" s="1">
        <v>43299</v>
      </c>
      <c r="C1143" t="s">
        <v>16</v>
      </c>
      <c r="D1143" t="s">
        <v>25</v>
      </c>
      <c r="E1143">
        <v>2</v>
      </c>
      <c r="F1143">
        <v>40</v>
      </c>
      <c r="G1143">
        <v>80</v>
      </c>
      <c r="H1143">
        <v>0.02</v>
      </c>
      <c r="I1143">
        <v>1.6</v>
      </c>
      <c r="J1143">
        <v>78</v>
      </c>
      <c r="K1143" t="s">
        <v>38</v>
      </c>
    </row>
    <row r="1144" spans="1:11" x14ac:dyDescent="0.3">
      <c r="A1144" t="s">
        <v>1175</v>
      </c>
      <c r="B1144" s="1">
        <v>43300</v>
      </c>
      <c r="C1144" t="s">
        <v>16</v>
      </c>
      <c r="D1144" t="s">
        <v>28</v>
      </c>
      <c r="E1144">
        <v>22</v>
      </c>
      <c r="F1144">
        <v>40</v>
      </c>
      <c r="G1144">
        <v>880</v>
      </c>
      <c r="H1144">
        <v>0.01</v>
      </c>
      <c r="I1144">
        <v>8.8000000000000007</v>
      </c>
      <c r="J1144">
        <v>871</v>
      </c>
      <c r="K1144" t="s">
        <v>40</v>
      </c>
    </row>
    <row r="1145" spans="1:11" x14ac:dyDescent="0.3">
      <c r="A1145" t="s">
        <v>1176</v>
      </c>
      <c r="B1145" s="1">
        <v>43300</v>
      </c>
      <c r="C1145" t="s">
        <v>20</v>
      </c>
      <c r="D1145" t="s">
        <v>28</v>
      </c>
      <c r="E1145">
        <v>3</v>
      </c>
      <c r="F1145">
        <v>230</v>
      </c>
      <c r="G1145">
        <v>690</v>
      </c>
      <c r="H1145">
        <v>0.01</v>
      </c>
      <c r="I1145">
        <v>6.9</v>
      </c>
      <c r="J1145">
        <v>683</v>
      </c>
      <c r="K1145" t="s">
        <v>42</v>
      </c>
    </row>
    <row r="1146" spans="1:11" x14ac:dyDescent="0.3">
      <c r="A1146" t="s">
        <v>1177</v>
      </c>
      <c r="B1146" s="1">
        <v>43300</v>
      </c>
      <c r="C1146" t="s">
        <v>16</v>
      </c>
      <c r="D1146" t="s">
        <v>28</v>
      </c>
      <c r="E1146">
        <v>23</v>
      </c>
      <c r="F1146">
        <v>40</v>
      </c>
      <c r="G1146">
        <v>920</v>
      </c>
      <c r="H1146">
        <v>0.06</v>
      </c>
      <c r="I1146">
        <v>55.199999999999996</v>
      </c>
      <c r="J1146">
        <v>865</v>
      </c>
      <c r="K1146" t="s">
        <v>44</v>
      </c>
    </row>
    <row r="1147" spans="1:11" x14ac:dyDescent="0.3">
      <c r="A1147" t="s">
        <v>1178</v>
      </c>
      <c r="B1147" s="1">
        <v>43300</v>
      </c>
      <c r="C1147" t="s">
        <v>16</v>
      </c>
      <c r="D1147" t="s">
        <v>32</v>
      </c>
      <c r="E1147">
        <v>5</v>
      </c>
      <c r="F1147">
        <v>40</v>
      </c>
      <c r="G1147">
        <v>200</v>
      </c>
      <c r="H1147">
        <v>0.03</v>
      </c>
      <c r="I1147">
        <v>6</v>
      </c>
      <c r="J1147">
        <v>194</v>
      </c>
      <c r="K1147" t="s">
        <v>14</v>
      </c>
    </row>
    <row r="1148" spans="1:11" x14ac:dyDescent="0.3">
      <c r="A1148" t="s">
        <v>1179</v>
      </c>
      <c r="B1148" s="1">
        <v>43300</v>
      </c>
      <c r="C1148" t="s">
        <v>12</v>
      </c>
      <c r="D1148" t="s">
        <v>13</v>
      </c>
      <c r="E1148">
        <v>8</v>
      </c>
      <c r="F1148">
        <v>80</v>
      </c>
      <c r="G1148">
        <v>640</v>
      </c>
      <c r="H1148">
        <v>0.08</v>
      </c>
      <c r="I1148">
        <v>51.2</v>
      </c>
      <c r="J1148">
        <v>589</v>
      </c>
      <c r="K1148" t="s">
        <v>18</v>
      </c>
    </row>
    <row r="1149" spans="1:11" x14ac:dyDescent="0.3">
      <c r="A1149" t="s">
        <v>1180</v>
      </c>
      <c r="B1149" s="1">
        <v>43300</v>
      </c>
      <c r="C1149" t="s">
        <v>16</v>
      </c>
      <c r="D1149" t="s">
        <v>25</v>
      </c>
      <c r="E1149">
        <v>18</v>
      </c>
      <c r="F1149">
        <v>40</v>
      </c>
      <c r="G1149">
        <v>720</v>
      </c>
      <c r="H1149">
        <v>0.03</v>
      </c>
      <c r="I1149">
        <v>21.599999999999998</v>
      </c>
      <c r="J1149">
        <v>698</v>
      </c>
      <c r="K1149" t="s">
        <v>21</v>
      </c>
    </row>
    <row r="1150" spans="1:11" x14ac:dyDescent="0.3">
      <c r="A1150" t="s">
        <v>1181</v>
      </c>
      <c r="B1150" s="1">
        <v>43300</v>
      </c>
      <c r="C1150" t="s">
        <v>16</v>
      </c>
      <c r="D1150" t="s">
        <v>32</v>
      </c>
      <c r="E1150">
        <v>20</v>
      </c>
      <c r="F1150">
        <v>40</v>
      </c>
      <c r="G1150">
        <v>800</v>
      </c>
      <c r="H1150">
        <v>0.1</v>
      </c>
      <c r="I1150">
        <v>80</v>
      </c>
      <c r="J1150">
        <v>720</v>
      </c>
      <c r="K1150" t="s">
        <v>23</v>
      </c>
    </row>
    <row r="1151" spans="1:11" x14ac:dyDescent="0.3">
      <c r="A1151" t="s">
        <v>1182</v>
      </c>
      <c r="B1151" s="1">
        <v>43300</v>
      </c>
      <c r="C1151" t="s">
        <v>16</v>
      </c>
      <c r="D1151" t="s">
        <v>25</v>
      </c>
      <c r="E1151">
        <v>2</v>
      </c>
      <c r="F1151">
        <v>40</v>
      </c>
      <c r="G1151">
        <v>80</v>
      </c>
      <c r="H1151">
        <v>0.03</v>
      </c>
      <c r="I1151">
        <v>2.4</v>
      </c>
      <c r="J1151">
        <v>78</v>
      </c>
      <c r="K1151" t="s">
        <v>26</v>
      </c>
    </row>
    <row r="1152" spans="1:11" x14ac:dyDescent="0.3">
      <c r="A1152" t="s">
        <v>1183</v>
      </c>
      <c r="B1152" s="1">
        <v>43300</v>
      </c>
      <c r="C1152" t="s">
        <v>20</v>
      </c>
      <c r="D1152" t="s">
        <v>13</v>
      </c>
      <c r="E1152">
        <v>15</v>
      </c>
      <c r="F1152">
        <v>230</v>
      </c>
      <c r="G1152">
        <v>3450</v>
      </c>
      <c r="H1152">
        <v>0.05</v>
      </c>
      <c r="I1152">
        <v>172.5</v>
      </c>
      <c r="J1152">
        <v>3278</v>
      </c>
      <c r="K1152" t="s">
        <v>29</v>
      </c>
    </row>
    <row r="1153" spans="1:11" x14ac:dyDescent="0.3">
      <c r="A1153" t="s">
        <v>1184</v>
      </c>
      <c r="B1153" s="1">
        <v>43300</v>
      </c>
      <c r="C1153" t="s">
        <v>35</v>
      </c>
      <c r="D1153" t="s">
        <v>28</v>
      </c>
      <c r="E1153">
        <v>15</v>
      </c>
      <c r="F1153">
        <v>150</v>
      </c>
      <c r="G1153">
        <v>2250</v>
      </c>
      <c r="H1153">
        <v>0.08</v>
      </c>
      <c r="I1153">
        <v>180</v>
      </c>
      <c r="J1153">
        <v>2070</v>
      </c>
      <c r="K1153" t="s">
        <v>18</v>
      </c>
    </row>
    <row r="1154" spans="1:11" x14ac:dyDescent="0.3">
      <c r="A1154" t="s">
        <v>1185</v>
      </c>
      <c r="B1154" s="1">
        <v>43300</v>
      </c>
      <c r="C1154" t="s">
        <v>35</v>
      </c>
      <c r="D1154" t="s">
        <v>28</v>
      </c>
      <c r="E1154">
        <v>22</v>
      </c>
      <c r="F1154">
        <v>150</v>
      </c>
      <c r="G1154">
        <v>3300</v>
      </c>
      <c r="H1154">
        <v>0.05</v>
      </c>
      <c r="I1154">
        <v>165</v>
      </c>
      <c r="J1154">
        <v>3135</v>
      </c>
      <c r="K1154" t="s">
        <v>21</v>
      </c>
    </row>
    <row r="1155" spans="1:11" x14ac:dyDescent="0.3">
      <c r="A1155" t="s">
        <v>1186</v>
      </c>
      <c r="B1155" s="1">
        <v>43300</v>
      </c>
      <c r="C1155" t="s">
        <v>20</v>
      </c>
      <c r="D1155" t="s">
        <v>17</v>
      </c>
      <c r="E1155">
        <v>19</v>
      </c>
      <c r="F1155">
        <v>230</v>
      </c>
      <c r="G1155">
        <v>4370</v>
      </c>
      <c r="H1155">
        <v>0.11</v>
      </c>
      <c r="I1155">
        <v>480.7</v>
      </c>
      <c r="J1155">
        <v>3889</v>
      </c>
      <c r="K1155" t="s">
        <v>23</v>
      </c>
    </row>
    <row r="1156" spans="1:11" x14ac:dyDescent="0.3">
      <c r="A1156" t="s">
        <v>1187</v>
      </c>
      <c r="B1156" s="1">
        <v>43300</v>
      </c>
      <c r="C1156" t="s">
        <v>12</v>
      </c>
      <c r="D1156" t="s">
        <v>17</v>
      </c>
      <c r="E1156">
        <v>10</v>
      </c>
      <c r="F1156">
        <v>80</v>
      </c>
      <c r="G1156">
        <v>800</v>
      </c>
      <c r="H1156">
        <v>0.11</v>
      </c>
      <c r="I1156">
        <v>88</v>
      </c>
      <c r="J1156">
        <v>712</v>
      </c>
      <c r="K1156" t="s">
        <v>26</v>
      </c>
    </row>
    <row r="1157" spans="1:11" x14ac:dyDescent="0.3">
      <c r="A1157" t="s">
        <v>1188</v>
      </c>
      <c r="B1157" s="1">
        <v>43300</v>
      </c>
      <c r="C1157" t="s">
        <v>16</v>
      </c>
      <c r="D1157" t="s">
        <v>28</v>
      </c>
      <c r="E1157">
        <v>18</v>
      </c>
      <c r="F1157">
        <v>40</v>
      </c>
      <c r="G1157">
        <v>720</v>
      </c>
      <c r="H1157">
        <v>0.06</v>
      </c>
      <c r="I1157">
        <v>43.199999999999996</v>
      </c>
      <c r="J1157">
        <v>677</v>
      </c>
      <c r="K1157" t="s">
        <v>29</v>
      </c>
    </row>
    <row r="1158" spans="1:11" x14ac:dyDescent="0.3">
      <c r="A1158" t="s">
        <v>1189</v>
      </c>
      <c r="B1158" s="1">
        <v>43300</v>
      </c>
      <c r="C1158" t="s">
        <v>12</v>
      </c>
      <c r="D1158" t="s">
        <v>28</v>
      </c>
      <c r="E1158">
        <v>16</v>
      </c>
      <c r="F1158">
        <v>80</v>
      </c>
      <c r="G1158">
        <v>1280</v>
      </c>
      <c r="H1158">
        <v>0.05</v>
      </c>
      <c r="I1158">
        <v>64</v>
      </c>
      <c r="J1158">
        <v>1216</v>
      </c>
      <c r="K1158" t="s">
        <v>33</v>
      </c>
    </row>
    <row r="1159" spans="1:11" x14ac:dyDescent="0.3">
      <c r="A1159" t="s">
        <v>1190</v>
      </c>
      <c r="B1159" s="1">
        <v>43300</v>
      </c>
      <c r="C1159" t="s">
        <v>35</v>
      </c>
      <c r="D1159" t="s">
        <v>32</v>
      </c>
      <c r="E1159">
        <v>17</v>
      </c>
      <c r="F1159">
        <v>150</v>
      </c>
      <c r="G1159">
        <v>2550</v>
      </c>
      <c r="H1159">
        <v>0.02</v>
      </c>
      <c r="I1159">
        <v>51</v>
      </c>
      <c r="J1159">
        <v>2499</v>
      </c>
      <c r="K1159" t="s">
        <v>36</v>
      </c>
    </row>
    <row r="1160" spans="1:11" x14ac:dyDescent="0.3">
      <c r="A1160" t="s">
        <v>1191</v>
      </c>
      <c r="B1160" s="1">
        <v>43301</v>
      </c>
      <c r="C1160" t="s">
        <v>20</v>
      </c>
      <c r="D1160" t="s">
        <v>13</v>
      </c>
      <c r="E1160">
        <v>8</v>
      </c>
      <c r="F1160">
        <v>230</v>
      </c>
      <c r="G1160">
        <v>1840</v>
      </c>
      <c r="H1160">
        <v>0.03</v>
      </c>
      <c r="I1160">
        <v>55.199999999999996</v>
      </c>
      <c r="J1160">
        <v>1785</v>
      </c>
      <c r="K1160" t="s">
        <v>38</v>
      </c>
    </row>
    <row r="1161" spans="1:11" x14ac:dyDescent="0.3">
      <c r="A1161" t="s">
        <v>1192</v>
      </c>
      <c r="B1161" s="1">
        <v>43301</v>
      </c>
      <c r="C1161" t="s">
        <v>12</v>
      </c>
      <c r="D1161" t="s">
        <v>28</v>
      </c>
      <c r="E1161">
        <v>11</v>
      </c>
      <c r="F1161">
        <v>80</v>
      </c>
      <c r="G1161">
        <v>880</v>
      </c>
      <c r="H1161">
        <v>0.01</v>
      </c>
      <c r="I1161">
        <v>8.8000000000000007</v>
      </c>
      <c r="J1161">
        <v>871</v>
      </c>
      <c r="K1161" t="s">
        <v>40</v>
      </c>
    </row>
    <row r="1162" spans="1:11" x14ac:dyDescent="0.3">
      <c r="A1162" t="s">
        <v>1193</v>
      </c>
      <c r="B1162" s="1">
        <v>43301</v>
      </c>
      <c r="C1162" t="s">
        <v>16</v>
      </c>
      <c r="D1162" t="s">
        <v>13</v>
      </c>
      <c r="E1162">
        <v>5</v>
      </c>
      <c r="F1162">
        <v>40</v>
      </c>
      <c r="G1162">
        <v>200</v>
      </c>
      <c r="H1162">
        <v>0.06</v>
      </c>
      <c r="I1162">
        <v>12</v>
      </c>
      <c r="J1162">
        <v>188</v>
      </c>
      <c r="K1162" t="s">
        <v>42</v>
      </c>
    </row>
    <row r="1163" spans="1:11" x14ac:dyDescent="0.3">
      <c r="A1163" t="s">
        <v>1194</v>
      </c>
      <c r="B1163" s="1">
        <v>43301</v>
      </c>
      <c r="C1163" t="s">
        <v>16</v>
      </c>
      <c r="D1163" t="s">
        <v>32</v>
      </c>
      <c r="E1163">
        <v>11</v>
      </c>
      <c r="F1163">
        <v>40</v>
      </c>
      <c r="G1163">
        <v>440</v>
      </c>
      <c r="H1163">
        <v>0.05</v>
      </c>
      <c r="I1163">
        <v>22</v>
      </c>
      <c r="J1163">
        <v>418</v>
      </c>
      <c r="K1163" t="s">
        <v>44</v>
      </c>
    </row>
    <row r="1164" spans="1:11" x14ac:dyDescent="0.3">
      <c r="A1164" t="s">
        <v>1195</v>
      </c>
      <c r="B1164" s="1">
        <v>43301</v>
      </c>
      <c r="C1164" t="s">
        <v>35</v>
      </c>
      <c r="D1164" t="s">
        <v>28</v>
      </c>
      <c r="E1164">
        <v>20</v>
      </c>
      <c r="F1164">
        <v>150</v>
      </c>
      <c r="G1164">
        <v>3000</v>
      </c>
      <c r="H1164">
        <v>0.1</v>
      </c>
      <c r="I1164">
        <v>300</v>
      </c>
      <c r="J1164">
        <v>2700</v>
      </c>
      <c r="K1164" t="s">
        <v>14</v>
      </c>
    </row>
    <row r="1165" spans="1:11" x14ac:dyDescent="0.3">
      <c r="A1165" t="s">
        <v>1196</v>
      </c>
      <c r="B1165" s="1">
        <v>43301</v>
      </c>
      <c r="C1165" t="s">
        <v>35</v>
      </c>
      <c r="D1165" t="s">
        <v>25</v>
      </c>
      <c r="E1165">
        <v>11</v>
      </c>
      <c r="F1165">
        <v>150</v>
      </c>
      <c r="G1165">
        <v>1650</v>
      </c>
      <c r="H1165">
        <v>0.11</v>
      </c>
      <c r="I1165">
        <v>181.5</v>
      </c>
      <c r="J1165">
        <v>1468</v>
      </c>
      <c r="K1165" t="s">
        <v>18</v>
      </c>
    </row>
    <row r="1166" spans="1:11" x14ac:dyDescent="0.3">
      <c r="A1166" t="s">
        <v>1197</v>
      </c>
      <c r="B1166" s="1">
        <v>43301</v>
      </c>
      <c r="C1166" t="s">
        <v>12</v>
      </c>
      <c r="D1166" t="s">
        <v>28</v>
      </c>
      <c r="E1166">
        <v>2</v>
      </c>
      <c r="F1166">
        <v>80</v>
      </c>
      <c r="G1166">
        <v>160</v>
      </c>
      <c r="H1166">
        <v>0.08</v>
      </c>
      <c r="I1166">
        <v>12.8</v>
      </c>
      <c r="J1166">
        <v>147</v>
      </c>
      <c r="K1166" t="s">
        <v>21</v>
      </c>
    </row>
    <row r="1167" spans="1:11" x14ac:dyDescent="0.3">
      <c r="A1167" t="s">
        <v>1198</v>
      </c>
      <c r="B1167" s="1">
        <v>43301</v>
      </c>
      <c r="C1167" t="s">
        <v>35</v>
      </c>
      <c r="D1167" t="s">
        <v>17</v>
      </c>
      <c r="E1167">
        <v>16</v>
      </c>
      <c r="F1167">
        <v>150</v>
      </c>
      <c r="G1167">
        <v>2400</v>
      </c>
      <c r="H1167">
        <v>0.08</v>
      </c>
      <c r="I1167">
        <v>192</v>
      </c>
      <c r="J1167">
        <v>2208</v>
      </c>
      <c r="K1167" t="s">
        <v>23</v>
      </c>
    </row>
    <row r="1168" spans="1:11" x14ac:dyDescent="0.3">
      <c r="A1168" t="s">
        <v>1199</v>
      </c>
      <c r="B1168" s="1">
        <v>43301</v>
      </c>
      <c r="C1168" t="s">
        <v>31</v>
      </c>
      <c r="D1168" t="s">
        <v>13</v>
      </c>
      <c r="E1168">
        <v>20</v>
      </c>
      <c r="F1168">
        <v>16</v>
      </c>
      <c r="G1168">
        <v>320</v>
      </c>
      <c r="H1168">
        <v>0.11</v>
      </c>
      <c r="I1168">
        <v>35.200000000000003</v>
      </c>
      <c r="J1168">
        <v>285</v>
      </c>
      <c r="K1168" t="s">
        <v>26</v>
      </c>
    </row>
    <row r="1169" spans="1:11" x14ac:dyDescent="0.3">
      <c r="A1169" t="s">
        <v>1200</v>
      </c>
      <c r="B1169" s="1">
        <v>43301</v>
      </c>
      <c r="C1169" t="s">
        <v>20</v>
      </c>
      <c r="D1169" t="s">
        <v>25</v>
      </c>
      <c r="E1169">
        <v>2</v>
      </c>
      <c r="F1169">
        <v>230</v>
      </c>
      <c r="G1169">
        <v>460</v>
      </c>
      <c r="H1169">
        <v>0.09</v>
      </c>
      <c r="I1169">
        <v>41.4</v>
      </c>
      <c r="J1169">
        <v>419</v>
      </c>
      <c r="K1169" t="s">
        <v>29</v>
      </c>
    </row>
    <row r="1170" spans="1:11" x14ac:dyDescent="0.3">
      <c r="A1170" t="s">
        <v>1201</v>
      </c>
      <c r="B1170" s="1">
        <v>43301</v>
      </c>
      <c r="C1170" t="s">
        <v>35</v>
      </c>
      <c r="D1170" t="s">
        <v>13</v>
      </c>
      <c r="E1170">
        <v>20</v>
      </c>
      <c r="F1170">
        <v>150</v>
      </c>
      <c r="G1170">
        <v>3000</v>
      </c>
      <c r="H1170">
        <v>0.04</v>
      </c>
      <c r="I1170">
        <v>120</v>
      </c>
      <c r="J1170">
        <v>2880</v>
      </c>
      <c r="K1170" t="s">
        <v>18</v>
      </c>
    </row>
    <row r="1171" spans="1:11" x14ac:dyDescent="0.3">
      <c r="A1171" t="s">
        <v>1202</v>
      </c>
      <c r="B1171" s="1">
        <v>43301</v>
      </c>
      <c r="C1171" t="s">
        <v>35</v>
      </c>
      <c r="D1171" t="s">
        <v>13</v>
      </c>
      <c r="E1171">
        <v>22</v>
      </c>
      <c r="F1171">
        <v>150</v>
      </c>
      <c r="G1171">
        <v>3300</v>
      </c>
      <c r="H1171">
        <v>7.0000000000000007E-2</v>
      </c>
      <c r="I1171">
        <v>231.00000000000003</v>
      </c>
      <c r="J1171">
        <v>3069</v>
      </c>
      <c r="K1171" t="s">
        <v>21</v>
      </c>
    </row>
    <row r="1172" spans="1:11" x14ac:dyDescent="0.3">
      <c r="A1172" t="s">
        <v>1203</v>
      </c>
      <c r="B1172" s="1">
        <v>43301</v>
      </c>
      <c r="C1172" t="s">
        <v>35</v>
      </c>
      <c r="D1172" t="s">
        <v>25</v>
      </c>
      <c r="E1172">
        <v>22</v>
      </c>
      <c r="F1172">
        <v>150</v>
      </c>
      <c r="G1172">
        <v>3300</v>
      </c>
      <c r="H1172">
        <v>0.04</v>
      </c>
      <c r="I1172">
        <v>132</v>
      </c>
      <c r="J1172">
        <v>3168</v>
      </c>
      <c r="K1172" t="s">
        <v>23</v>
      </c>
    </row>
    <row r="1173" spans="1:11" x14ac:dyDescent="0.3">
      <c r="A1173" t="s">
        <v>1204</v>
      </c>
      <c r="B1173" s="1">
        <v>43301</v>
      </c>
      <c r="C1173" t="s">
        <v>16</v>
      </c>
      <c r="D1173" t="s">
        <v>13</v>
      </c>
      <c r="E1173">
        <v>23</v>
      </c>
      <c r="F1173">
        <v>40</v>
      </c>
      <c r="G1173">
        <v>920</v>
      </c>
      <c r="H1173">
        <v>7.0000000000000007E-2</v>
      </c>
      <c r="I1173">
        <v>64.400000000000006</v>
      </c>
      <c r="J1173">
        <v>856</v>
      </c>
      <c r="K1173" t="s">
        <v>26</v>
      </c>
    </row>
    <row r="1174" spans="1:11" x14ac:dyDescent="0.3">
      <c r="A1174" t="s">
        <v>1205</v>
      </c>
      <c r="B1174" s="1">
        <v>43302</v>
      </c>
      <c r="C1174" t="s">
        <v>31</v>
      </c>
      <c r="D1174" t="s">
        <v>25</v>
      </c>
      <c r="E1174">
        <v>11</v>
      </c>
      <c r="F1174">
        <v>16</v>
      </c>
      <c r="G1174">
        <v>176</v>
      </c>
      <c r="H1174">
        <v>0.04</v>
      </c>
      <c r="I1174">
        <v>7.04</v>
      </c>
      <c r="J1174">
        <v>169</v>
      </c>
      <c r="K1174" t="s">
        <v>29</v>
      </c>
    </row>
    <row r="1175" spans="1:11" x14ac:dyDescent="0.3">
      <c r="A1175" t="s">
        <v>1206</v>
      </c>
      <c r="B1175" s="1">
        <v>43302</v>
      </c>
      <c r="C1175" t="s">
        <v>20</v>
      </c>
      <c r="D1175" t="s">
        <v>17</v>
      </c>
      <c r="E1175">
        <v>11</v>
      </c>
      <c r="F1175">
        <v>230</v>
      </c>
      <c r="G1175">
        <v>2530</v>
      </c>
      <c r="H1175">
        <v>0.1</v>
      </c>
      <c r="I1175">
        <v>253</v>
      </c>
      <c r="J1175">
        <v>2277</v>
      </c>
      <c r="K1175" t="s">
        <v>33</v>
      </c>
    </row>
    <row r="1176" spans="1:11" x14ac:dyDescent="0.3">
      <c r="A1176" t="s">
        <v>1207</v>
      </c>
      <c r="B1176" s="1">
        <v>43302</v>
      </c>
      <c r="C1176" t="s">
        <v>20</v>
      </c>
      <c r="D1176" t="s">
        <v>13</v>
      </c>
      <c r="E1176">
        <v>7</v>
      </c>
      <c r="F1176">
        <v>230</v>
      </c>
      <c r="G1176">
        <v>1610</v>
      </c>
      <c r="H1176">
        <v>0.08</v>
      </c>
      <c r="I1176">
        <v>128.80000000000001</v>
      </c>
      <c r="J1176">
        <v>1481</v>
      </c>
      <c r="K1176" t="s">
        <v>36</v>
      </c>
    </row>
    <row r="1177" spans="1:11" x14ac:dyDescent="0.3">
      <c r="A1177" t="s">
        <v>1208</v>
      </c>
      <c r="B1177" s="1">
        <v>43302</v>
      </c>
      <c r="C1177" t="s">
        <v>20</v>
      </c>
      <c r="D1177" t="s">
        <v>28</v>
      </c>
      <c r="E1177">
        <v>16</v>
      </c>
      <c r="F1177">
        <v>230</v>
      </c>
      <c r="G1177">
        <v>3680</v>
      </c>
      <c r="H1177">
        <v>0.11</v>
      </c>
      <c r="I1177">
        <v>404.8</v>
      </c>
      <c r="J1177">
        <v>3275</v>
      </c>
      <c r="K1177" t="s">
        <v>40</v>
      </c>
    </row>
    <row r="1178" spans="1:11" x14ac:dyDescent="0.3">
      <c r="A1178" t="s">
        <v>1209</v>
      </c>
      <c r="B1178" s="1">
        <v>43302</v>
      </c>
      <c r="C1178" t="s">
        <v>20</v>
      </c>
      <c r="D1178" t="s">
        <v>32</v>
      </c>
      <c r="E1178">
        <v>20</v>
      </c>
      <c r="F1178">
        <v>230</v>
      </c>
      <c r="G1178">
        <v>4600</v>
      </c>
      <c r="H1178">
        <v>0.09</v>
      </c>
      <c r="I1178">
        <v>414</v>
      </c>
      <c r="J1178">
        <v>4186</v>
      </c>
      <c r="K1178" t="s">
        <v>42</v>
      </c>
    </row>
    <row r="1179" spans="1:11" x14ac:dyDescent="0.3">
      <c r="A1179" t="s">
        <v>1210</v>
      </c>
      <c r="B1179" s="1">
        <v>43302</v>
      </c>
      <c r="C1179" t="s">
        <v>16</v>
      </c>
      <c r="D1179" t="s">
        <v>25</v>
      </c>
      <c r="E1179">
        <v>20</v>
      </c>
      <c r="F1179">
        <v>40</v>
      </c>
      <c r="G1179">
        <v>800</v>
      </c>
      <c r="H1179">
        <v>0.01</v>
      </c>
      <c r="I1179">
        <v>8</v>
      </c>
      <c r="J1179">
        <v>792</v>
      </c>
      <c r="K1179" t="s">
        <v>44</v>
      </c>
    </row>
    <row r="1180" spans="1:11" x14ac:dyDescent="0.3">
      <c r="A1180" t="s">
        <v>1211</v>
      </c>
      <c r="B1180" s="1">
        <v>43302</v>
      </c>
      <c r="C1180" t="s">
        <v>12</v>
      </c>
      <c r="D1180" t="s">
        <v>13</v>
      </c>
      <c r="E1180">
        <v>20</v>
      </c>
      <c r="F1180">
        <v>80</v>
      </c>
      <c r="G1180">
        <v>1600</v>
      </c>
      <c r="H1180">
        <v>0.01</v>
      </c>
      <c r="I1180">
        <v>16</v>
      </c>
      <c r="J1180">
        <v>1584</v>
      </c>
      <c r="K1180" t="s">
        <v>14</v>
      </c>
    </row>
    <row r="1181" spans="1:11" x14ac:dyDescent="0.3">
      <c r="A1181" t="s">
        <v>1212</v>
      </c>
      <c r="B1181" s="1">
        <v>43302</v>
      </c>
      <c r="C1181" t="s">
        <v>35</v>
      </c>
      <c r="D1181" t="s">
        <v>13</v>
      </c>
      <c r="E1181">
        <v>5</v>
      </c>
      <c r="F1181">
        <v>150</v>
      </c>
      <c r="G1181">
        <v>750</v>
      </c>
      <c r="H1181">
        <v>0.11</v>
      </c>
      <c r="I1181">
        <v>82.5</v>
      </c>
      <c r="J1181">
        <v>668</v>
      </c>
      <c r="K1181" t="s">
        <v>18</v>
      </c>
    </row>
    <row r="1182" spans="1:11" x14ac:dyDescent="0.3">
      <c r="A1182" t="s">
        <v>1213</v>
      </c>
      <c r="B1182" s="1">
        <v>43303</v>
      </c>
      <c r="C1182" t="s">
        <v>16</v>
      </c>
      <c r="D1182" t="s">
        <v>25</v>
      </c>
      <c r="E1182">
        <v>4</v>
      </c>
      <c r="F1182">
        <v>40</v>
      </c>
      <c r="G1182">
        <v>160</v>
      </c>
      <c r="H1182">
        <v>0.11</v>
      </c>
      <c r="I1182">
        <v>17.600000000000001</v>
      </c>
      <c r="J1182">
        <v>142</v>
      </c>
      <c r="K1182" t="s">
        <v>21</v>
      </c>
    </row>
    <row r="1183" spans="1:11" x14ac:dyDescent="0.3">
      <c r="A1183" t="s">
        <v>1214</v>
      </c>
      <c r="B1183" s="1">
        <v>43303</v>
      </c>
      <c r="C1183" t="s">
        <v>31</v>
      </c>
      <c r="D1183" t="s">
        <v>13</v>
      </c>
      <c r="E1183">
        <v>7</v>
      </c>
      <c r="F1183">
        <v>16</v>
      </c>
      <c r="G1183">
        <v>112</v>
      </c>
      <c r="H1183">
        <v>0.12</v>
      </c>
      <c r="I1183">
        <v>13.44</v>
      </c>
      <c r="J1183">
        <v>99</v>
      </c>
      <c r="K1183" t="s">
        <v>23</v>
      </c>
    </row>
    <row r="1184" spans="1:11" x14ac:dyDescent="0.3">
      <c r="A1184" t="s">
        <v>1215</v>
      </c>
      <c r="B1184" s="1">
        <v>43303</v>
      </c>
      <c r="C1184" t="s">
        <v>31</v>
      </c>
      <c r="D1184" t="s">
        <v>17</v>
      </c>
      <c r="E1184">
        <v>22</v>
      </c>
      <c r="F1184">
        <v>16</v>
      </c>
      <c r="G1184">
        <v>352</v>
      </c>
      <c r="H1184">
        <v>0.01</v>
      </c>
      <c r="I1184">
        <v>3.52</v>
      </c>
      <c r="J1184">
        <v>348</v>
      </c>
      <c r="K1184" t="s">
        <v>26</v>
      </c>
    </row>
    <row r="1185" spans="1:11" x14ac:dyDescent="0.3">
      <c r="A1185" t="s">
        <v>1216</v>
      </c>
      <c r="B1185" s="1">
        <v>43303</v>
      </c>
      <c r="C1185" t="s">
        <v>16</v>
      </c>
      <c r="D1185" t="s">
        <v>28</v>
      </c>
      <c r="E1185">
        <v>15</v>
      </c>
      <c r="F1185">
        <v>40</v>
      </c>
      <c r="G1185">
        <v>600</v>
      </c>
      <c r="H1185">
        <v>0.03</v>
      </c>
      <c r="I1185">
        <v>18</v>
      </c>
      <c r="J1185">
        <v>582</v>
      </c>
      <c r="K1185" t="s">
        <v>29</v>
      </c>
    </row>
    <row r="1186" spans="1:11" x14ac:dyDescent="0.3">
      <c r="A1186" t="s">
        <v>1217</v>
      </c>
      <c r="B1186" s="1">
        <v>43303</v>
      </c>
      <c r="C1186" t="s">
        <v>12</v>
      </c>
      <c r="D1186" t="s">
        <v>17</v>
      </c>
      <c r="E1186">
        <v>14</v>
      </c>
      <c r="F1186">
        <v>80</v>
      </c>
      <c r="G1186">
        <v>1120</v>
      </c>
      <c r="H1186">
        <v>0.11</v>
      </c>
      <c r="I1186">
        <v>123.2</v>
      </c>
      <c r="J1186">
        <v>997</v>
      </c>
      <c r="K1186" t="s">
        <v>18</v>
      </c>
    </row>
    <row r="1187" spans="1:11" x14ac:dyDescent="0.3">
      <c r="A1187" t="s">
        <v>1218</v>
      </c>
      <c r="B1187" s="1">
        <v>43303</v>
      </c>
      <c r="C1187" t="s">
        <v>31</v>
      </c>
      <c r="D1187" t="s">
        <v>17</v>
      </c>
      <c r="E1187">
        <v>15</v>
      </c>
      <c r="F1187">
        <v>16</v>
      </c>
      <c r="G1187">
        <v>240</v>
      </c>
      <c r="H1187">
        <v>0.02</v>
      </c>
      <c r="I1187">
        <v>4.8</v>
      </c>
      <c r="J1187">
        <v>235</v>
      </c>
      <c r="K1187" t="s">
        <v>21</v>
      </c>
    </row>
    <row r="1188" spans="1:11" x14ac:dyDescent="0.3">
      <c r="A1188" t="s">
        <v>1219</v>
      </c>
      <c r="B1188" s="1">
        <v>43304</v>
      </c>
      <c r="C1188" t="s">
        <v>12</v>
      </c>
      <c r="D1188" t="s">
        <v>28</v>
      </c>
      <c r="E1188">
        <v>19</v>
      </c>
      <c r="F1188">
        <v>80</v>
      </c>
      <c r="G1188">
        <v>1520</v>
      </c>
      <c r="H1188">
        <v>0.02</v>
      </c>
      <c r="I1188">
        <v>30.400000000000002</v>
      </c>
      <c r="J1188">
        <v>1490</v>
      </c>
      <c r="K1188" t="s">
        <v>23</v>
      </c>
    </row>
    <row r="1189" spans="1:11" x14ac:dyDescent="0.3">
      <c r="A1189" t="s">
        <v>1220</v>
      </c>
      <c r="B1189" s="1">
        <v>43304</v>
      </c>
      <c r="C1189" t="s">
        <v>16</v>
      </c>
      <c r="D1189" t="s">
        <v>32</v>
      </c>
      <c r="E1189">
        <v>20</v>
      </c>
      <c r="F1189">
        <v>40</v>
      </c>
      <c r="G1189">
        <v>800</v>
      </c>
      <c r="H1189">
        <v>0.05</v>
      </c>
      <c r="I1189">
        <v>40</v>
      </c>
      <c r="J1189">
        <v>760</v>
      </c>
      <c r="K1189" t="s">
        <v>26</v>
      </c>
    </row>
    <row r="1190" spans="1:11" x14ac:dyDescent="0.3">
      <c r="A1190" t="s">
        <v>1221</v>
      </c>
      <c r="B1190" s="1">
        <v>43304</v>
      </c>
      <c r="C1190" t="s">
        <v>16</v>
      </c>
      <c r="D1190" t="s">
        <v>28</v>
      </c>
      <c r="E1190">
        <v>11</v>
      </c>
      <c r="F1190">
        <v>40</v>
      </c>
      <c r="G1190">
        <v>440</v>
      </c>
      <c r="H1190">
        <v>0.06</v>
      </c>
      <c r="I1190">
        <v>26.4</v>
      </c>
      <c r="J1190">
        <v>414</v>
      </c>
      <c r="K1190" t="s">
        <v>29</v>
      </c>
    </row>
    <row r="1191" spans="1:11" x14ac:dyDescent="0.3">
      <c r="A1191" t="s">
        <v>1222</v>
      </c>
      <c r="B1191" s="1">
        <v>43304</v>
      </c>
      <c r="C1191" t="s">
        <v>35</v>
      </c>
      <c r="D1191" t="s">
        <v>25</v>
      </c>
      <c r="E1191">
        <v>11</v>
      </c>
      <c r="F1191">
        <v>150</v>
      </c>
      <c r="G1191">
        <v>1650</v>
      </c>
      <c r="H1191">
        <v>0.05</v>
      </c>
      <c r="I1191">
        <v>82.5</v>
      </c>
      <c r="J1191">
        <v>1568</v>
      </c>
      <c r="K1191" t="s">
        <v>33</v>
      </c>
    </row>
    <row r="1192" spans="1:11" x14ac:dyDescent="0.3">
      <c r="A1192" t="s">
        <v>1223</v>
      </c>
      <c r="B1192" s="1">
        <v>43304</v>
      </c>
      <c r="C1192" t="s">
        <v>12</v>
      </c>
      <c r="D1192" t="s">
        <v>28</v>
      </c>
      <c r="E1192">
        <v>23</v>
      </c>
      <c r="F1192">
        <v>80</v>
      </c>
      <c r="G1192">
        <v>1840</v>
      </c>
      <c r="H1192">
        <v>0.11</v>
      </c>
      <c r="I1192">
        <v>202.4</v>
      </c>
      <c r="J1192">
        <v>1638</v>
      </c>
      <c r="K1192" t="s">
        <v>36</v>
      </c>
    </row>
    <row r="1193" spans="1:11" x14ac:dyDescent="0.3">
      <c r="A1193" t="s">
        <v>1224</v>
      </c>
      <c r="B1193" s="1">
        <v>43304</v>
      </c>
      <c r="C1193" t="s">
        <v>12</v>
      </c>
      <c r="D1193" t="s">
        <v>13</v>
      </c>
      <c r="E1193">
        <v>8</v>
      </c>
      <c r="F1193">
        <v>80</v>
      </c>
      <c r="G1193">
        <v>640</v>
      </c>
      <c r="H1193">
        <v>0.09</v>
      </c>
      <c r="I1193">
        <v>57.599999999999994</v>
      </c>
      <c r="J1193">
        <v>582</v>
      </c>
      <c r="K1193" t="s">
        <v>38</v>
      </c>
    </row>
    <row r="1194" spans="1:11" x14ac:dyDescent="0.3">
      <c r="A1194" t="s">
        <v>1225</v>
      </c>
      <c r="B1194" s="1">
        <v>43304</v>
      </c>
      <c r="C1194" t="s">
        <v>16</v>
      </c>
      <c r="D1194" t="s">
        <v>28</v>
      </c>
      <c r="E1194">
        <v>9</v>
      </c>
      <c r="F1194">
        <v>40</v>
      </c>
      <c r="G1194">
        <v>360</v>
      </c>
      <c r="H1194">
        <v>0.06</v>
      </c>
      <c r="I1194">
        <v>21.599999999999998</v>
      </c>
      <c r="J1194">
        <v>338</v>
      </c>
      <c r="K1194" t="s">
        <v>40</v>
      </c>
    </row>
    <row r="1195" spans="1:11" x14ac:dyDescent="0.3">
      <c r="A1195" t="s">
        <v>1226</v>
      </c>
      <c r="B1195" s="1">
        <v>43304</v>
      </c>
      <c r="C1195" t="s">
        <v>20</v>
      </c>
      <c r="D1195" t="s">
        <v>32</v>
      </c>
      <c r="E1195">
        <v>13</v>
      </c>
      <c r="F1195">
        <v>230</v>
      </c>
      <c r="G1195">
        <v>2990</v>
      </c>
      <c r="H1195">
        <v>0.06</v>
      </c>
      <c r="I1195">
        <v>179.4</v>
      </c>
      <c r="J1195">
        <v>2811</v>
      </c>
      <c r="K1195" t="s">
        <v>42</v>
      </c>
    </row>
    <row r="1196" spans="1:11" x14ac:dyDescent="0.3">
      <c r="A1196" t="s">
        <v>1227</v>
      </c>
      <c r="B1196" s="1">
        <v>43304</v>
      </c>
      <c r="C1196" t="s">
        <v>16</v>
      </c>
      <c r="D1196" t="s">
        <v>28</v>
      </c>
      <c r="E1196">
        <v>22</v>
      </c>
      <c r="F1196">
        <v>40</v>
      </c>
      <c r="G1196">
        <v>880</v>
      </c>
      <c r="H1196">
        <v>0.01</v>
      </c>
      <c r="I1196">
        <v>8.8000000000000007</v>
      </c>
      <c r="J1196">
        <v>871</v>
      </c>
      <c r="K1196" t="s">
        <v>44</v>
      </c>
    </row>
    <row r="1197" spans="1:11" x14ac:dyDescent="0.3">
      <c r="A1197" t="s">
        <v>1228</v>
      </c>
      <c r="B1197" s="1">
        <v>43304</v>
      </c>
      <c r="C1197" t="s">
        <v>31</v>
      </c>
      <c r="D1197" t="s">
        <v>32</v>
      </c>
      <c r="E1197">
        <v>14</v>
      </c>
      <c r="F1197">
        <v>16</v>
      </c>
      <c r="G1197">
        <v>224</v>
      </c>
      <c r="H1197">
        <v>0.06</v>
      </c>
      <c r="I1197">
        <v>13.44</v>
      </c>
      <c r="J1197">
        <v>211</v>
      </c>
      <c r="K1197" t="s">
        <v>14</v>
      </c>
    </row>
    <row r="1198" spans="1:11" x14ac:dyDescent="0.3">
      <c r="A1198" t="s">
        <v>1229</v>
      </c>
      <c r="B1198" s="1">
        <v>43305</v>
      </c>
      <c r="C1198" t="s">
        <v>12</v>
      </c>
      <c r="D1198" t="s">
        <v>17</v>
      </c>
      <c r="E1198">
        <v>5</v>
      </c>
      <c r="F1198">
        <v>80</v>
      </c>
      <c r="G1198">
        <v>400</v>
      </c>
      <c r="H1198">
        <v>0.04</v>
      </c>
      <c r="I1198">
        <v>16</v>
      </c>
      <c r="J1198">
        <v>384</v>
      </c>
      <c r="K1198" t="s">
        <v>18</v>
      </c>
    </row>
    <row r="1199" spans="1:11" x14ac:dyDescent="0.3">
      <c r="A1199" t="s">
        <v>1230</v>
      </c>
      <c r="B1199" s="1">
        <v>43305</v>
      </c>
      <c r="C1199" t="s">
        <v>35</v>
      </c>
      <c r="D1199" t="s">
        <v>32</v>
      </c>
      <c r="E1199">
        <v>18</v>
      </c>
      <c r="F1199">
        <v>150</v>
      </c>
      <c r="G1199">
        <v>2700</v>
      </c>
      <c r="H1199">
        <v>0.12</v>
      </c>
      <c r="I1199">
        <v>324</v>
      </c>
      <c r="J1199">
        <v>2376</v>
      </c>
      <c r="K1199" t="s">
        <v>21</v>
      </c>
    </row>
    <row r="1200" spans="1:11" x14ac:dyDescent="0.3">
      <c r="A1200" t="s">
        <v>1231</v>
      </c>
      <c r="B1200" s="1">
        <v>43305</v>
      </c>
      <c r="C1200" t="s">
        <v>20</v>
      </c>
      <c r="D1200" t="s">
        <v>25</v>
      </c>
      <c r="E1200">
        <v>14</v>
      </c>
      <c r="F1200">
        <v>230</v>
      </c>
      <c r="G1200">
        <v>3220</v>
      </c>
      <c r="H1200">
        <v>0.12</v>
      </c>
      <c r="I1200">
        <v>386.4</v>
      </c>
      <c r="J1200">
        <v>2834</v>
      </c>
      <c r="K1200" t="s">
        <v>23</v>
      </c>
    </row>
    <row r="1201" spans="1:11" x14ac:dyDescent="0.3">
      <c r="A1201" t="s">
        <v>1232</v>
      </c>
      <c r="B1201" s="1">
        <v>43305</v>
      </c>
      <c r="C1201" t="s">
        <v>20</v>
      </c>
      <c r="D1201" t="s">
        <v>32</v>
      </c>
      <c r="E1201">
        <v>20</v>
      </c>
      <c r="F1201">
        <v>230</v>
      </c>
      <c r="G1201">
        <v>4600</v>
      </c>
      <c r="H1201">
        <v>0.11</v>
      </c>
      <c r="I1201">
        <v>506</v>
      </c>
      <c r="J1201">
        <v>4094</v>
      </c>
      <c r="K1201" t="s">
        <v>26</v>
      </c>
    </row>
    <row r="1202" spans="1:11" x14ac:dyDescent="0.3">
      <c r="A1202" t="s">
        <v>1233</v>
      </c>
      <c r="B1202" s="1">
        <v>43305</v>
      </c>
      <c r="C1202" t="s">
        <v>31</v>
      </c>
      <c r="D1202" t="s">
        <v>32</v>
      </c>
      <c r="E1202">
        <v>3</v>
      </c>
      <c r="F1202">
        <v>16</v>
      </c>
      <c r="G1202">
        <v>48</v>
      </c>
      <c r="H1202">
        <v>0.03</v>
      </c>
      <c r="I1202">
        <v>1.44</v>
      </c>
      <c r="J1202">
        <v>47</v>
      </c>
      <c r="K1202" t="s">
        <v>29</v>
      </c>
    </row>
    <row r="1203" spans="1:11" x14ac:dyDescent="0.3">
      <c r="A1203" t="s">
        <v>1234</v>
      </c>
      <c r="B1203" s="1">
        <v>43305</v>
      </c>
      <c r="C1203" t="s">
        <v>20</v>
      </c>
      <c r="D1203" t="s">
        <v>25</v>
      </c>
      <c r="E1203">
        <v>20</v>
      </c>
      <c r="F1203">
        <v>230</v>
      </c>
      <c r="G1203">
        <v>4600</v>
      </c>
      <c r="H1203">
        <v>0.06</v>
      </c>
      <c r="I1203">
        <v>276</v>
      </c>
      <c r="J1203">
        <v>4324</v>
      </c>
      <c r="K1203" t="s">
        <v>18</v>
      </c>
    </row>
    <row r="1204" spans="1:11" x14ac:dyDescent="0.3">
      <c r="A1204" t="s">
        <v>1235</v>
      </c>
      <c r="B1204" s="1">
        <v>43305</v>
      </c>
      <c r="C1204" t="s">
        <v>12</v>
      </c>
      <c r="D1204" t="s">
        <v>32</v>
      </c>
      <c r="E1204">
        <v>9</v>
      </c>
      <c r="F1204">
        <v>80</v>
      </c>
      <c r="G1204">
        <v>720</v>
      </c>
      <c r="H1204">
        <v>0.02</v>
      </c>
      <c r="I1204">
        <v>14.4</v>
      </c>
      <c r="J1204">
        <v>706</v>
      </c>
      <c r="K1204" t="s">
        <v>21</v>
      </c>
    </row>
    <row r="1205" spans="1:11" x14ac:dyDescent="0.3">
      <c r="A1205" t="s">
        <v>1236</v>
      </c>
      <c r="B1205" s="1">
        <v>43305</v>
      </c>
      <c r="C1205" t="s">
        <v>31</v>
      </c>
      <c r="D1205" t="s">
        <v>28</v>
      </c>
      <c r="E1205">
        <v>22</v>
      </c>
      <c r="F1205">
        <v>16</v>
      </c>
      <c r="G1205">
        <v>352</v>
      </c>
      <c r="H1205">
        <v>0.03</v>
      </c>
      <c r="I1205">
        <v>10.559999999999999</v>
      </c>
      <c r="J1205">
        <v>341</v>
      </c>
      <c r="K1205" t="s">
        <v>23</v>
      </c>
    </row>
    <row r="1206" spans="1:11" x14ac:dyDescent="0.3">
      <c r="A1206" t="s">
        <v>1237</v>
      </c>
      <c r="B1206" s="1">
        <v>43305</v>
      </c>
      <c r="C1206" t="s">
        <v>12</v>
      </c>
      <c r="D1206" t="s">
        <v>17</v>
      </c>
      <c r="E1206">
        <v>15</v>
      </c>
      <c r="F1206">
        <v>80</v>
      </c>
      <c r="G1206">
        <v>1200</v>
      </c>
      <c r="H1206">
        <v>0.12</v>
      </c>
      <c r="I1206">
        <v>144</v>
      </c>
      <c r="J1206">
        <v>1056</v>
      </c>
      <c r="K1206" t="s">
        <v>26</v>
      </c>
    </row>
    <row r="1207" spans="1:11" x14ac:dyDescent="0.3">
      <c r="A1207" t="s">
        <v>1238</v>
      </c>
      <c r="B1207" s="1">
        <v>43305</v>
      </c>
      <c r="C1207" t="s">
        <v>35</v>
      </c>
      <c r="D1207" t="s">
        <v>13</v>
      </c>
      <c r="E1207">
        <v>11</v>
      </c>
      <c r="F1207">
        <v>150</v>
      </c>
      <c r="G1207">
        <v>1650</v>
      </c>
      <c r="H1207">
        <v>0.05</v>
      </c>
      <c r="I1207">
        <v>82.5</v>
      </c>
      <c r="J1207">
        <v>1568</v>
      </c>
      <c r="K1207" t="s">
        <v>29</v>
      </c>
    </row>
    <row r="1208" spans="1:11" x14ac:dyDescent="0.3">
      <c r="A1208" t="s">
        <v>1239</v>
      </c>
      <c r="B1208" s="1">
        <v>43305</v>
      </c>
      <c r="C1208" t="s">
        <v>20</v>
      </c>
      <c r="D1208" t="s">
        <v>28</v>
      </c>
      <c r="E1208">
        <v>11</v>
      </c>
      <c r="F1208">
        <v>230</v>
      </c>
      <c r="G1208">
        <v>2530</v>
      </c>
      <c r="H1208">
        <v>0.12</v>
      </c>
      <c r="I1208">
        <v>303.59999999999997</v>
      </c>
      <c r="J1208">
        <v>2226</v>
      </c>
      <c r="K1208" t="s">
        <v>33</v>
      </c>
    </row>
    <row r="1209" spans="1:11" x14ac:dyDescent="0.3">
      <c r="A1209" t="s">
        <v>1240</v>
      </c>
      <c r="B1209" s="1">
        <v>43305</v>
      </c>
      <c r="C1209" t="s">
        <v>35</v>
      </c>
      <c r="D1209" t="s">
        <v>13</v>
      </c>
      <c r="E1209">
        <v>20</v>
      </c>
      <c r="F1209">
        <v>150</v>
      </c>
      <c r="G1209">
        <v>3000</v>
      </c>
      <c r="H1209">
        <v>0.01</v>
      </c>
      <c r="I1209">
        <v>30</v>
      </c>
      <c r="J1209">
        <v>2970</v>
      </c>
      <c r="K1209" t="s">
        <v>36</v>
      </c>
    </row>
    <row r="1210" spans="1:11" x14ac:dyDescent="0.3">
      <c r="A1210" t="s">
        <v>1241</v>
      </c>
      <c r="B1210" s="1">
        <v>43305</v>
      </c>
      <c r="C1210" t="s">
        <v>16</v>
      </c>
      <c r="D1210" t="s">
        <v>25</v>
      </c>
      <c r="E1210">
        <v>11</v>
      </c>
      <c r="F1210">
        <v>40</v>
      </c>
      <c r="G1210">
        <v>440</v>
      </c>
      <c r="H1210">
        <v>0.12</v>
      </c>
      <c r="I1210">
        <v>52.8</v>
      </c>
      <c r="J1210">
        <v>387</v>
      </c>
      <c r="K1210" t="s">
        <v>38</v>
      </c>
    </row>
    <row r="1211" spans="1:11" x14ac:dyDescent="0.3">
      <c r="A1211" t="s">
        <v>1242</v>
      </c>
      <c r="B1211" s="1">
        <v>43306</v>
      </c>
      <c r="C1211" t="s">
        <v>20</v>
      </c>
      <c r="D1211" t="s">
        <v>25</v>
      </c>
      <c r="E1211">
        <v>12</v>
      </c>
      <c r="F1211">
        <v>230</v>
      </c>
      <c r="G1211">
        <v>2760</v>
      </c>
      <c r="H1211">
        <v>0.06</v>
      </c>
      <c r="I1211">
        <v>165.6</v>
      </c>
      <c r="J1211">
        <v>2594</v>
      </c>
      <c r="K1211" t="s">
        <v>40</v>
      </c>
    </row>
    <row r="1212" spans="1:11" x14ac:dyDescent="0.3">
      <c r="A1212" t="s">
        <v>1243</v>
      </c>
      <c r="B1212" s="1">
        <v>43306</v>
      </c>
      <c r="C1212" t="s">
        <v>16</v>
      </c>
      <c r="D1212" t="s">
        <v>13</v>
      </c>
      <c r="E1212">
        <v>15</v>
      </c>
      <c r="F1212">
        <v>40</v>
      </c>
      <c r="G1212">
        <v>600</v>
      </c>
      <c r="H1212">
        <v>0.06</v>
      </c>
      <c r="I1212">
        <v>36</v>
      </c>
      <c r="J1212">
        <v>564</v>
      </c>
      <c r="K1212" t="s">
        <v>42</v>
      </c>
    </row>
    <row r="1213" spans="1:11" x14ac:dyDescent="0.3">
      <c r="A1213" t="s">
        <v>1244</v>
      </c>
      <c r="B1213" s="1">
        <v>43306</v>
      </c>
      <c r="C1213" t="s">
        <v>16</v>
      </c>
      <c r="D1213" t="s">
        <v>28</v>
      </c>
      <c r="E1213">
        <v>13</v>
      </c>
      <c r="F1213">
        <v>40</v>
      </c>
      <c r="G1213">
        <v>520</v>
      </c>
      <c r="H1213">
        <v>0.09</v>
      </c>
      <c r="I1213">
        <v>46.8</v>
      </c>
      <c r="J1213">
        <v>473</v>
      </c>
      <c r="K1213" t="s">
        <v>44</v>
      </c>
    </row>
    <row r="1214" spans="1:11" x14ac:dyDescent="0.3">
      <c r="A1214" t="s">
        <v>1245</v>
      </c>
      <c r="B1214" s="1">
        <v>43306</v>
      </c>
      <c r="C1214" t="s">
        <v>16</v>
      </c>
      <c r="D1214" t="s">
        <v>32</v>
      </c>
      <c r="E1214">
        <v>4</v>
      </c>
      <c r="F1214">
        <v>40</v>
      </c>
      <c r="G1214">
        <v>160</v>
      </c>
      <c r="H1214">
        <v>0.09</v>
      </c>
      <c r="I1214">
        <v>14.399999999999999</v>
      </c>
      <c r="J1214">
        <v>146</v>
      </c>
      <c r="K1214" t="s">
        <v>14</v>
      </c>
    </row>
    <row r="1215" spans="1:11" x14ac:dyDescent="0.3">
      <c r="A1215" t="s">
        <v>1246</v>
      </c>
      <c r="B1215" s="1">
        <v>43306</v>
      </c>
      <c r="C1215" t="s">
        <v>20</v>
      </c>
      <c r="D1215" t="s">
        <v>28</v>
      </c>
      <c r="E1215">
        <v>18</v>
      </c>
      <c r="F1215">
        <v>230</v>
      </c>
      <c r="G1215">
        <v>4140</v>
      </c>
      <c r="H1215">
        <v>0.01</v>
      </c>
      <c r="I1215">
        <v>41.4</v>
      </c>
      <c r="J1215">
        <v>4099</v>
      </c>
      <c r="K1215" t="s">
        <v>18</v>
      </c>
    </row>
    <row r="1216" spans="1:11" x14ac:dyDescent="0.3">
      <c r="A1216" t="s">
        <v>1247</v>
      </c>
      <c r="B1216" s="1">
        <v>43306</v>
      </c>
      <c r="C1216" t="s">
        <v>31</v>
      </c>
      <c r="D1216" t="s">
        <v>13</v>
      </c>
      <c r="E1216">
        <v>7</v>
      </c>
      <c r="F1216">
        <v>16</v>
      </c>
      <c r="G1216">
        <v>112</v>
      </c>
      <c r="H1216">
        <v>0.02</v>
      </c>
      <c r="I1216">
        <v>2.2400000000000002</v>
      </c>
      <c r="J1216">
        <v>110</v>
      </c>
      <c r="K1216" t="s">
        <v>21</v>
      </c>
    </row>
    <row r="1217" spans="1:11" x14ac:dyDescent="0.3">
      <c r="A1217" t="s">
        <v>1248</v>
      </c>
      <c r="B1217" s="1">
        <v>43306</v>
      </c>
      <c r="C1217" t="s">
        <v>31</v>
      </c>
      <c r="D1217" t="s">
        <v>25</v>
      </c>
      <c r="E1217">
        <v>6</v>
      </c>
      <c r="F1217">
        <v>16</v>
      </c>
      <c r="G1217">
        <v>96</v>
      </c>
      <c r="H1217">
        <v>7.0000000000000007E-2</v>
      </c>
      <c r="I1217">
        <v>6.7200000000000006</v>
      </c>
      <c r="J1217">
        <v>89</v>
      </c>
      <c r="K1217" t="s">
        <v>23</v>
      </c>
    </row>
    <row r="1218" spans="1:11" x14ac:dyDescent="0.3">
      <c r="A1218" t="s">
        <v>1249</v>
      </c>
      <c r="B1218" s="1">
        <v>43306</v>
      </c>
      <c r="C1218" t="s">
        <v>20</v>
      </c>
      <c r="D1218" t="s">
        <v>28</v>
      </c>
      <c r="E1218">
        <v>8</v>
      </c>
      <c r="F1218">
        <v>230</v>
      </c>
      <c r="G1218">
        <v>1840</v>
      </c>
      <c r="H1218">
        <v>0.05</v>
      </c>
      <c r="I1218">
        <v>92</v>
      </c>
      <c r="J1218">
        <v>1748</v>
      </c>
      <c r="K1218" t="s">
        <v>26</v>
      </c>
    </row>
    <row r="1219" spans="1:11" x14ac:dyDescent="0.3">
      <c r="A1219" t="s">
        <v>1250</v>
      </c>
      <c r="B1219" s="1">
        <v>43306</v>
      </c>
      <c r="C1219" t="s">
        <v>31</v>
      </c>
      <c r="D1219" t="s">
        <v>25</v>
      </c>
      <c r="E1219">
        <v>12</v>
      </c>
      <c r="F1219">
        <v>16</v>
      </c>
      <c r="G1219">
        <v>192</v>
      </c>
      <c r="H1219">
        <v>0.11</v>
      </c>
      <c r="I1219">
        <v>21.12</v>
      </c>
      <c r="J1219">
        <v>171</v>
      </c>
      <c r="K1219" t="s">
        <v>29</v>
      </c>
    </row>
    <row r="1220" spans="1:11" x14ac:dyDescent="0.3">
      <c r="A1220" t="s">
        <v>1251</v>
      </c>
      <c r="B1220" s="1">
        <v>43306</v>
      </c>
      <c r="C1220" t="s">
        <v>20</v>
      </c>
      <c r="D1220" t="s">
        <v>13</v>
      </c>
      <c r="E1220">
        <v>11</v>
      </c>
      <c r="F1220">
        <v>230</v>
      </c>
      <c r="G1220">
        <v>2530</v>
      </c>
      <c r="H1220">
        <v>0.02</v>
      </c>
      <c r="I1220">
        <v>50.6</v>
      </c>
      <c r="J1220">
        <v>2479</v>
      </c>
      <c r="K1220" t="s">
        <v>18</v>
      </c>
    </row>
    <row r="1221" spans="1:11" x14ac:dyDescent="0.3">
      <c r="A1221" t="s">
        <v>1252</v>
      </c>
      <c r="B1221" s="1">
        <v>43306</v>
      </c>
      <c r="C1221" t="s">
        <v>31</v>
      </c>
      <c r="D1221" t="s">
        <v>25</v>
      </c>
      <c r="E1221">
        <v>3</v>
      </c>
      <c r="F1221">
        <v>16</v>
      </c>
      <c r="G1221">
        <v>48</v>
      </c>
      <c r="H1221">
        <v>0.05</v>
      </c>
      <c r="I1221">
        <v>2.4000000000000004</v>
      </c>
      <c r="J1221">
        <v>46</v>
      </c>
      <c r="K1221" t="s">
        <v>21</v>
      </c>
    </row>
    <row r="1222" spans="1:11" x14ac:dyDescent="0.3">
      <c r="A1222" t="s">
        <v>1253</v>
      </c>
      <c r="B1222" s="1">
        <v>43307</v>
      </c>
      <c r="C1222" t="s">
        <v>35</v>
      </c>
      <c r="D1222" t="s">
        <v>17</v>
      </c>
      <c r="E1222">
        <v>16</v>
      </c>
      <c r="F1222">
        <v>150</v>
      </c>
      <c r="G1222">
        <v>2400</v>
      </c>
      <c r="H1222">
        <v>0.05</v>
      </c>
      <c r="I1222">
        <v>120</v>
      </c>
      <c r="J1222">
        <v>2280</v>
      </c>
      <c r="K1222" t="s">
        <v>23</v>
      </c>
    </row>
    <row r="1223" spans="1:11" x14ac:dyDescent="0.3">
      <c r="A1223" t="s">
        <v>1254</v>
      </c>
      <c r="B1223" s="1">
        <v>43307</v>
      </c>
      <c r="C1223" t="s">
        <v>20</v>
      </c>
      <c r="D1223" t="s">
        <v>28</v>
      </c>
      <c r="E1223">
        <v>8</v>
      </c>
      <c r="F1223">
        <v>230</v>
      </c>
      <c r="G1223">
        <v>1840</v>
      </c>
      <c r="H1223">
        <v>0.01</v>
      </c>
      <c r="I1223">
        <v>18.400000000000002</v>
      </c>
      <c r="J1223">
        <v>1822</v>
      </c>
      <c r="K1223" t="s">
        <v>26</v>
      </c>
    </row>
    <row r="1224" spans="1:11" x14ac:dyDescent="0.3">
      <c r="A1224" t="s">
        <v>1255</v>
      </c>
      <c r="B1224" s="1">
        <v>43307</v>
      </c>
      <c r="C1224" t="s">
        <v>12</v>
      </c>
      <c r="D1224" t="s">
        <v>25</v>
      </c>
      <c r="E1224">
        <v>16</v>
      </c>
      <c r="F1224">
        <v>80</v>
      </c>
      <c r="G1224">
        <v>1280</v>
      </c>
      <c r="H1224">
        <v>0.04</v>
      </c>
      <c r="I1224">
        <v>51.2</v>
      </c>
      <c r="J1224">
        <v>1229</v>
      </c>
      <c r="K1224" t="s">
        <v>29</v>
      </c>
    </row>
    <row r="1225" spans="1:11" x14ac:dyDescent="0.3">
      <c r="A1225" t="s">
        <v>1256</v>
      </c>
      <c r="B1225" s="1">
        <v>43307</v>
      </c>
      <c r="C1225" t="s">
        <v>31</v>
      </c>
      <c r="D1225" t="s">
        <v>28</v>
      </c>
      <c r="E1225">
        <v>18</v>
      </c>
      <c r="F1225">
        <v>16</v>
      </c>
      <c r="G1225">
        <v>288</v>
      </c>
      <c r="H1225">
        <v>0.04</v>
      </c>
      <c r="I1225">
        <v>11.52</v>
      </c>
      <c r="J1225">
        <v>276</v>
      </c>
      <c r="K1225" t="s">
        <v>33</v>
      </c>
    </row>
    <row r="1226" spans="1:11" x14ac:dyDescent="0.3">
      <c r="A1226" t="s">
        <v>1257</v>
      </c>
      <c r="B1226" s="1">
        <v>43307</v>
      </c>
      <c r="C1226" t="s">
        <v>16</v>
      </c>
      <c r="D1226" t="s">
        <v>32</v>
      </c>
      <c r="E1226">
        <v>14</v>
      </c>
      <c r="F1226">
        <v>40</v>
      </c>
      <c r="G1226">
        <v>560</v>
      </c>
      <c r="H1226">
        <v>0.11</v>
      </c>
      <c r="I1226">
        <v>61.6</v>
      </c>
      <c r="J1226">
        <v>498</v>
      </c>
      <c r="K1226" t="s">
        <v>36</v>
      </c>
    </row>
    <row r="1227" spans="1:11" x14ac:dyDescent="0.3">
      <c r="A1227" t="s">
        <v>1258</v>
      </c>
      <c r="B1227" s="1">
        <v>43307</v>
      </c>
      <c r="C1227" t="s">
        <v>31</v>
      </c>
      <c r="D1227" t="s">
        <v>17</v>
      </c>
      <c r="E1227">
        <v>21</v>
      </c>
      <c r="F1227">
        <v>16</v>
      </c>
      <c r="G1227">
        <v>336</v>
      </c>
      <c r="H1227">
        <v>0.02</v>
      </c>
      <c r="I1227">
        <v>6.72</v>
      </c>
      <c r="J1227">
        <v>329</v>
      </c>
      <c r="K1227" t="s">
        <v>38</v>
      </c>
    </row>
    <row r="1228" spans="1:11" x14ac:dyDescent="0.3">
      <c r="A1228" t="s">
        <v>1259</v>
      </c>
      <c r="B1228" s="1">
        <v>43307</v>
      </c>
      <c r="C1228" t="s">
        <v>31</v>
      </c>
      <c r="D1228" t="s">
        <v>17</v>
      </c>
      <c r="E1228">
        <v>7</v>
      </c>
      <c r="F1228">
        <v>16</v>
      </c>
      <c r="G1228">
        <v>112</v>
      </c>
      <c r="H1228">
        <v>0.08</v>
      </c>
      <c r="I1228">
        <v>8.9600000000000009</v>
      </c>
      <c r="J1228">
        <v>103</v>
      </c>
      <c r="K1228" t="s">
        <v>40</v>
      </c>
    </row>
    <row r="1229" spans="1:11" x14ac:dyDescent="0.3">
      <c r="A1229" t="s">
        <v>1260</v>
      </c>
      <c r="B1229" s="1">
        <v>43307</v>
      </c>
      <c r="C1229" t="s">
        <v>12</v>
      </c>
      <c r="D1229" t="s">
        <v>25</v>
      </c>
      <c r="E1229">
        <v>7</v>
      </c>
      <c r="F1229">
        <v>80</v>
      </c>
      <c r="G1229">
        <v>560</v>
      </c>
      <c r="H1229">
        <v>0.05</v>
      </c>
      <c r="I1229">
        <v>28</v>
      </c>
      <c r="J1229">
        <v>532</v>
      </c>
      <c r="K1229" t="s">
        <v>42</v>
      </c>
    </row>
    <row r="1230" spans="1:11" x14ac:dyDescent="0.3">
      <c r="A1230" t="s">
        <v>1261</v>
      </c>
      <c r="B1230" s="1">
        <v>43307</v>
      </c>
      <c r="C1230" t="s">
        <v>16</v>
      </c>
      <c r="D1230" t="s">
        <v>32</v>
      </c>
      <c r="E1230">
        <v>16</v>
      </c>
      <c r="F1230">
        <v>40</v>
      </c>
      <c r="G1230">
        <v>640</v>
      </c>
      <c r="H1230">
        <v>0.09</v>
      </c>
      <c r="I1230">
        <v>57.599999999999994</v>
      </c>
      <c r="J1230">
        <v>582</v>
      </c>
      <c r="K1230" t="s">
        <v>44</v>
      </c>
    </row>
    <row r="1231" spans="1:11" x14ac:dyDescent="0.3">
      <c r="A1231" t="s">
        <v>1262</v>
      </c>
      <c r="B1231" s="1">
        <v>43307</v>
      </c>
      <c r="C1231" t="s">
        <v>20</v>
      </c>
      <c r="D1231" t="s">
        <v>32</v>
      </c>
      <c r="E1231">
        <v>22</v>
      </c>
      <c r="F1231">
        <v>230</v>
      </c>
      <c r="G1231">
        <v>5060</v>
      </c>
      <c r="H1231">
        <v>0.1</v>
      </c>
      <c r="I1231">
        <v>506</v>
      </c>
      <c r="J1231">
        <v>4554</v>
      </c>
      <c r="K1231" t="s">
        <v>14</v>
      </c>
    </row>
    <row r="1232" spans="1:11" x14ac:dyDescent="0.3">
      <c r="A1232" t="s">
        <v>1263</v>
      </c>
      <c r="B1232" s="1">
        <v>43307</v>
      </c>
      <c r="C1232" t="s">
        <v>16</v>
      </c>
      <c r="D1232" t="s">
        <v>17</v>
      </c>
      <c r="E1232">
        <v>4</v>
      </c>
      <c r="F1232">
        <v>40</v>
      </c>
      <c r="G1232">
        <v>160</v>
      </c>
      <c r="H1232">
        <v>0.03</v>
      </c>
      <c r="I1232">
        <v>4.8</v>
      </c>
      <c r="J1232">
        <v>155</v>
      </c>
      <c r="K1232" t="s">
        <v>18</v>
      </c>
    </row>
    <row r="1233" spans="1:11" x14ac:dyDescent="0.3">
      <c r="A1233" t="s">
        <v>1264</v>
      </c>
      <c r="B1233" s="1">
        <v>43307</v>
      </c>
      <c r="C1233" t="s">
        <v>20</v>
      </c>
      <c r="D1233" t="s">
        <v>32</v>
      </c>
      <c r="E1233">
        <v>3</v>
      </c>
      <c r="F1233">
        <v>230</v>
      </c>
      <c r="G1233">
        <v>690</v>
      </c>
      <c r="H1233">
        <v>0.1</v>
      </c>
      <c r="I1233">
        <v>69</v>
      </c>
      <c r="J1233">
        <v>621</v>
      </c>
      <c r="K1233" t="s">
        <v>21</v>
      </c>
    </row>
    <row r="1234" spans="1:11" x14ac:dyDescent="0.3">
      <c r="A1234" t="s">
        <v>1265</v>
      </c>
      <c r="B1234" s="1">
        <v>43307</v>
      </c>
      <c r="C1234" t="s">
        <v>12</v>
      </c>
      <c r="D1234" t="s">
        <v>17</v>
      </c>
      <c r="E1234">
        <v>14</v>
      </c>
      <c r="F1234">
        <v>80</v>
      </c>
      <c r="G1234">
        <v>1120</v>
      </c>
      <c r="H1234">
        <v>0.11</v>
      </c>
      <c r="I1234">
        <v>123.2</v>
      </c>
      <c r="J1234">
        <v>997</v>
      </c>
      <c r="K1234" t="s">
        <v>23</v>
      </c>
    </row>
    <row r="1235" spans="1:11" x14ac:dyDescent="0.3">
      <c r="A1235" t="s">
        <v>1266</v>
      </c>
      <c r="B1235" s="1">
        <v>43308</v>
      </c>
      <c r="C1235" t="s">
        <v>16</v>
      </c>
      <c r="D1235" t="s">
        <v>32</v>
      </c>
      <c r="E1235">
        <v>21</v>
      </c>
      <c r="F1235">
        <v>40</v>
      </c>
      <c r="G1235">
        <v>840</v>
      </c>
      <c r="H1235">
        <v>0.01</v>
      </c>
      <c r="I1235">
        <v>8.4</v>
      </c>
      <c r="J1235">
        <v>832</v>
      </c>
      <c r="K1235" t="s">
        <v>26</v>
      </c>
    </row>
    <row r="1236" spans="1:11" x14ac:dyDescent="0.3">
      <c r="A1236" t="s">
        <v>1267</v>
      </c>
      <c r="B1236" s="1">
        <v>43308</v>
      </c>
      <c r="C1236" t="s">
        <v>31</v>
      </c>
      <c r="D1236" t="s">
        <v>17</v>
      </c>
      <c r="E1236">
        <v>20</v>
      </c>
      <c r="F1236">
        <v>16</v>
      </c>
      <c r="G1236">
        <v>320</v>
      </c>
      <c r="H1236">
        <v>0.06</v>
      </c>
      <c r="I1236">
        <v>19.2</v>
      </c>
      <c r="J1236">
        <v>301</v>
      </c>
      <c r="K1236" t="s">
        <v>29</v>
      </c>
    </row>
    <row r="1237" spans="1:11" x14ac:dyDescent="0.3">
      <c r="A1237" t="s">
        <v>1268</v>
      </c>
      <c r="B1237" s="1">
        <v>43308</v>
      </c>
      <c r="C1237" t="s">
        <v>12</v>
      </c>
      <c r="D1237" t="s">
        <v>32</v>
      </c>
      <c r="E1237">
        <v>22</v>
      </c>
      <c r="F1237">
        <v>80</v>
      </c>
      <c r="G1237">
        <v>1760</v>
      </c>
      <c r="H1237">
        <v>0.11</v>
      </c>
      <c r="I1237">
        <v>193.6</v>
      </c>
      <c r="J1237">
        <v>1566</v>
      </c>
      <c r="K1237" t="s">
        <v>18</v>
      </c>
    </row>
    <row r="1238" spans="1:11" x14ac:dyDescent="0.3">
      <c r="A1238" t="s">
        <v>1269</v>
      </c>
      <c r="B1238" s="1">
        <v>43308</v>
      </c>
      <c r="C1238" t="s">
        <v>16</v>
      </c>
      <c r="D1238" t="s">
        <v>13</v>
      </c>
      <c r="E1238">
        <v>7</v>
      </c>
      <c r="F1238">
        <v>40</v>
      </c>
      <c r="G1238">
        <v>280</v>
      </c>
      <c r="H1238">
        <v>0.1</v>
      </c>
      <c r="I1238">
        <v>28</v>
      </c>
      <c r="J1238">
        <v>252</v>
      </c>
      <c r="K1238" t="s">
        <v>21</v>
      </c>
    </row>
    <row r="1239" spans="1:11" x14ac:dyDescent="0.3">
      <c r="A1239" t="s">
        <v>1270</v>
      </c>
      <c r="B1239" s="1">
        <v>43308</v>
      </c>
      <c r="C1239" t="s">
        <v>35</v>
      </c>
      <c r="D1239" t="s">
        <v>17</v>
      </c>
      <c r="E1239">
        <v>16</v>
      </c>
      <c r="F1239">
        <v>150</v>
      </c>
      <c r="G1239">
        <v>2400</v>
      </c>
      <c r="H1239">
        <v>0.05</v>
      </c>
      <c r="I1239">
        <v>120</v>
      </c>
      <c r="J1239">
        <v>2280</v>
      </c>
      <c r="K1239" t="s">
        <v>23</v>
      </c>
    </row>
    <row r="1240" spans="1:11" x14ac:dyDescent="0.3">
      <c r="A1240" t="s">
        <v>1271</v>
      </c>
      <c r="B1240" s="1">
        <v>43308</v>
      </c>
      <c r="C1240" t="s">
        <v>20</v>
      </c>
      <c r="D1240" t="s">
        <v>17</v>
      </c>
      <c r="E1240">
        <v>7</v>
      </c>
      <c r="F1240">
        <v>230</v>
      </c>
      <c r="G1240">
        <v>1610</v>
      </c>
      <c r="H1240">
        <v>0.05</v>
      </c>
      <c r="I1240">
        <v>80.5</v>
      </c>
      <c r="J1240">
        <v>1530</v>
      </c>
      <c r="K1240" t="s">
        <v>26</v>
      </c>
    </row>
    <row r="1241" spans="1:11" x14ac:dyDescent="0.3">
      <c r="A1241" t="s">
        <v>1272</v>
      </c>
      <c r="B1241" s="1">
        <v>43308</v>
      </c>
      <c r="C1241" t="s">
        <v>35</v>
      </c>
      <c r="D1241" t="s">
        <v>13</v>
      </c>
      <c r="E1241">
        <v>20</v>
      </c>
      <c r="F1241">
        <v>150</v>
      </c>
      <c r="G1241">
        <v>3000</v>
      </c>
      <c r="H1241">
        <v>0.03</v>
      </c>
      <c r="I1241">
        <v>90</v>
      </c>
      <c r="J1241">
        <v>2910</v>
      </c>
      <c r="K1241" t="s">
        <v>29</v>
      </c>
    </row>
    <row r="1242" spans="1:11" x14ac:dyDescent="0.3">
      <c r="A1242" t="s">
        <v>1273</v>
      </c>
      <c r="B1242" s="1">
        <v>43308</v>
      </c>
      <c r="C1242" t="s">
        <v>35</v>
      </c>
      <c r="D1242" t="s">
        <v>17</v>
      </c>
      <c r="E1242">
        <v>16</v>
      </c>
      <c r="F1242">
        <v>150</v>
      </c>
      <c r="G1242">
        <v>2400</v>
      </c>
      <c r="H1242">
        <v>0.03</v>
      </c>
      <c r="I1242">
        <v>72</v>
      </c>
      <c r="J1242">
        <v>2328</v>
      </c>
      <c r="K1242" t="s">
        <v>33</v>
      </c>
    </row>
    <row r="1243" spans="1:11" x14ac:dyDescent="0.3">
      <c r="A1243" t="s">
        <v>1274</v>
      </c>
      <c r="B1243" s="1">
        <v>43308</v>
      </c>
      <c r="C1243" t="s">
        <v>31</v>
      </c>
      <c r="D1243" t="s">
        <v>28</v>
      </c>
      <c r="E1243">
        <v>10</v>
      </c>
      <c r="F1243">
        <v>16</v>
      </c>
      <c r="G1243">
        <v>160</v>
      </c>
      <c r="H1243">
        <v>0.04</v>
      </c>
      <c r="I1243">
        <v>6.4</v>
      </c>
      <c r="J1243">
        <v>154</v>
      </c>
      <c r="K1243" t="s">
        <v>36</v>
      </c>
    </row>
    <row r="1244" spans="1:11" x14ac:dyDescent="0.3">
      <c r="A1244" t="s">
        <v>1275</v>
      </c>
      <c r="B1244" s="1">
        <v>43308</v>
      </c>
      <c r="C1244" t="s">
        <v>12</v>
      </c>
      <c r="D1244" t="s">
        <v>32</v>
      </c>
      <c r="E1244">
        <v>6</v>
      </c>
      <c r="F1244">
        <v>80</v>
      </c>
      <c r="G1244">
        <v>480</v>
      </c>
      <c r="H1244">
        <v>0.09</v>
      </c>
      <c r="I1244">
        <v>43.199999999999996</v>
      </c>
      <c r="J1244">
        <v>437</v>
      </c>
      <c r="K1244" t="s">
        <v>38</v>
      </c>
    </row>
    <row r="1245" spans="1:11" x14ac:dyDescent="0.3">
      <c r="A1245" t="s">
        <v>1276</v>
      </c>
      <c r="B1245" s="1">
        <v>43308</v>
      </c>
      <c r="C1245" t="s">
        <v>12</v>
      </c>
      <c r="D1245" t="s">
        <v>13</v>
      </c>
      <c r="E1245">
        <v>17</v>
      </c>
      <c r="F1245">
        <v>80</v>
      </c>
      <c r="G1245">
        <v>1360</v>
      </c>
      <c r="H1245">
        <v>0.09</v>
      </c>
      <c r="I1245">
        <v>122.39999999999999</v>
      </c>
      <c r="J1245">
        <v>1238</v>
      </c>
      <c r="K1245" t="s">
        <v>40</v>
      </c>
    </row>
    <row r="1246" spans="1:11" x14ac:dyDescent="0.3">
      <c r="A1246" t="s">
        <v>1277</v>
      </c>
      <c r="B1246" s="1">
        <v>43308</v>
      </c>
      <c r="C1246" t="s">
        <v>16</v>
      </c>
      <c r="D1246" t="s">
        <v>13</v>
      </c>
      <c r="E1246">
        <v>19</v>
      </c>
      <c r="F1246">
        <v>40</v>
      </c>
      <c r="G1246">
        <v>760</v>
      </c>
      <c r="H1246">
        <v>0.04</v>
      </c>
      <c r="I1246">
        <v>30.400000000000002</v>
      </c>
      <c r="J1246">
        <v>730</v>
      </c>
      <c r="K1246" t="s">
        <v>42</v>
      </c>
    </row>
    <row r="1247" spans="1:11" x14ac:dyDescent="0.3">
      <c r="A1247" t="s">
        <v>1278</v>
      </c>
      <c r="B1247" s="1">
        <v>43308</v>
      </c>
      <c r="C1247" t="s">
        <v>16</v>
      </c>
      <c r="D1247" t="s">
        <v>32</v>
      </c>
      <c r="E1247">
        <v>16</v>
      </c>
      <c r="F1247">
        <v>40</v>
      </c>
      <c r="G1247">
        <v>640</v>
      </c>
      <c r="H1247">
        <v>0.09</v>
      </c>
      <c r="I1247">
        <v>57.599999999999994</v>
      </c>
      <c r="J1247">
        <v>582</v>
      </c>
      <c r="K1247" t="s">
        <v>44</v>
      </c>
    </row>
    <row r="1248" spans="1:11" x14ac:dyDescent="0.3">
      <c r="A1248" t="s">
        <v>1279</v>
      </c>
      <c r="B1248" s="1">
        <v>43308</v>
      </c>
      <c r="C1248" t="s">
        <v>31</v>
      </c>
      <c r="D1248" t="s">
        <v>13</v>
      </c>
      <c r="E1248">
        <v>4</v>
      </c>
      <c r="F1248">
        <v>16</v>
      </c>
      <c r="G1248">
        <v>64</v>
      </c>
      <c r="H1248">
        <v>0.12</v>
      </c>
      <c r="I1248">
        <v>7.68</v>
      </c>
      <c r="J1248">
        <v>56</v>
      </c>
      <c r="K1248" t="s">
        <v>14</v>
      </c>
    </row>
    <row r="1249" spans="1:11" x14ac:dyDescent="0.3">
      <c r="A1249" t="s">
        <v>1280</v>
      </c>
      <c r="B1249" s="1">
        <v>43308</v>
      </c>
      <c r="C1249" t="s">
        <v>35</v>
      </c>
      <c r="D1249" t="s">
        <v>28</v>
      </c>
      <c r="E1249">
        <v>9</v>
      </c>
      <c r="F1249">
        <v>150</v>
      </c>
      <c r="G1249">
        <v>1350</v>
      </c>
      <c r="H1249">
        <v>0.02</v>
      </c>
      <c r="I1249">
        <v>27</v>
      </c>
      <c r="J1249">
        <v>1323</v>
      </c>
      <c r="K1249" t="s">
        <v>18</v>
      </c>
    </row>
    <row r="1250" spans="1:11" x14ac:dyDescent="0.3">
      <c r="A1250" t="s">
        <v>1281</v>
      </c>
      <c r="B1250" s="1">
        <v>43308</v>
      </c>
      <c r="C1250" t="s">
        <v>31</v>
      </c>
      <c r="D1250" t="s">
        <v>13</v>
      </c>
      <c r="E1250">
        <v>11</v>
      </c>
      <c r="F1250">
        <v>16</v>
      </c>
      <c r="G1250">
        <v>176</v>
      </c>
      <c r="H1250">
        <v>0.09</v>
      </c>
      <c r="I1250">
        <v>15.84</v>
      </c>
      <c r="J1250">
        <v>160</v>
      </c>
      <c r="K1250" t="s">
        <v>21</v>
      </c>
    </row>
    <row r="1251" spans="1:11" x14ac:dyDescent="0.3">
      <c r="A1251" t="s">
        <v>1282</v>
      </c>
      <c r="B1251" s="1">
        <v>43308</v>
      </c>
      <c r="C1251" t="s">
        <v>12</v>
      </c>
      <c r="D1251" t="s">
        <v>17</v>
      </c>
      <c r="E1251">
        <v>17</v>
      </c>
      <c r="F1251">
        <v>80</v>
      </c>
      <c r="G1251">
        <v>1360</v>
      </c>
      <c r="H1251">
        <v>0.03</v>
      </c>
      <c r="I1251">
        <v>40.799999999999997</v>
      </c>
      <c r="J1251">
        <v>1319</v>
      </c>
      <c r="K1251" t="s">
        <v>23</v>
      </c>
    </row>
    <row r="1252" spans="1:11" x14ac:dyDescent="0.3">
      <c r="A1252" t="s">
        <v>1283</v>
      </c>
      <c r="B1252" s="1">
        <v>43309</v>
      </c>
      <c r="C1252" t="s">
        <v>35</v>
      </c>
      <c r="D1252" t="s">
        <v>13</v>
      </c>
      <c r="E1252">
        <v>3</v>
      </c>
      <c r="F1252">
        <v>150</v>
      </c>
      <c r="G1252">
        <v>450</v>
      </c>
      <c r="H1252">
        <v>0.03</v>
      </c>
      <c r="I1252">
        <v>13.5</v>
      </c>
      <c r="J1252">
        <v>436</v>
      </c>
      <c r="K1252" t="s">
        <v>26</v>
      </c>
    </row>
    <row r="1253" spans="1:11" x14ac:dyDescent="0.3">
      <c r="A1253" t="s">
        <v>1284</v>
      </c>
      <c r="B1253" s="1">
        <v>43309</v>
      </c>
      <c r="C1253" t="s">
        <v>20</v>
      </c>
      <c r="D1253" t="s">
        <v>28</v>
      </c>
      <c r="E1253">
        <v>2</v>
      </c>
      <c r="F1253">
        <v>230</v>
      </c>
      <c r="G1253">
        <v>460</v>
      </c>
      <c r="H1253">
        <v>0.08</v>
      </c>
      <c r="I1253">
        <v>36.800000000000004</v>
      </c>
      <c r="J1253">
        <v>423</v>
      </c>
      <c r="K1253" t="s">
        <v>29</v>
      </c>
    </row>
    <row r="1254" spans="1:11" x14ac:dyDescent="0.3">
      <c r="A1254" t="s">
        <v>1285</v>
      </c>
      <c r="B1254" s="1">
        <v>43309</v>
      </c>
      <c r="C1254" t="s">
        <v>20</v>
      </c>
      <c r="D1254" t="s">
        <v>28</v>
      </c>
      <c r="E1254">
        <v>17</v>
      </c>
      <c r="F1254">
        <v>230</v>
      </c>
      <c r="G1254">
        <v>3910</v>
      </c>
      <c r="H1254">
        <v>0.12</v>
      </c>
      <c r="I1254">
        <v>469.2</v>
      </c>
      <c r="J1254">
        <v>3441</v>
      </c>
      <c r="K1254" t="s">
        <v>18</v>
      </c>
    </row>
    <row r="1255" spans="1:11" x14ac:dyDescent="0.3">
      <c r="A1255" t="s">
        <v>1286</v>
      </c>
      <c r="B1255" s="1">
        <v>43309</v>
      </c>
      <c r="C1255" t="s">
        <v>35</v>
      </c>
      <c r="D1255" t="s">
        <v>17</v>
      </c>
      <c r="E1255">
        <v>2</v>
      </c>
      <c r="F1255">
        <v>150</v>
      </c>
      <c r="G1255">
        <v>300</v>
      </c>
      <c r="H1255">
        <v>0.09</v>
      </c>
      <c r="I1255">
        <v>27</v>
      </c>
      <c r="J1255">
        <v>273</v>
      </c>
      <c r="K1255" t="s">
        <v>21</v>
      </c>
    </row>
    <row r="1256" spans="1:11" x14ac:dyDescent="0.3">
      <c r="A1256" t="s">
        <v>1287</v>
      </c>
      <c r="B1256" s="1">
        <v>43309</v>
      </c>
      <c r="C1256" t="s">
        <v>16</v>
      </c>
      <c r="D1256" t="s">
        <v>28</v>
      </c>
      <c r="E1256">
        <v>18</v>
      </c>
      <c r="F1256">
        <v>40</v>
      </c>
      <c r="G1256">
        <v>720</v>
      </c>
      <c r="H1256">
        <v>0.06</v>
      </c>
      <c r="I1256">
        <v>43.199999999999996</v>
      </c>
      <c r="J1256">
        <v>677</v>
      </c>
      <c r="K1256" t="s">
        <v>23</v>
      </c>
    </row>
    <row r="1257" spans="1:11" x14ac:dyDescent="0.3">
      <c r="A1257" t="s">
        <v>1288</v>
      </c>
      <c r="B1257" s="1">
        <v>43309</v>
      </c>
      <c r="C1257" t="s">
        <v>35</v>
      </c>
      <c r="D1257" t="s">
        <v>25</v>
      </c>
      <c r="E1257">
        <v>18</v>
      </c>
      <c r="F1257">
        <v>150</v>
      </c>
      <c r="G1257">
        <v>2700</v>
      </c>
      <c r="H1257">
        <v>0.06</v>
      </c>
      <c r="I1257">
        <v>162</v>
      </c>
      <c r="J1257">
        <v>2538</v>
      </c>
      <c r="K1257" t="s">
        <v>26</v>
      </c>
    </row>
    <row r="1258" spans="1:11" x14ac:dyDescent="0.3">
      <c r="A1258" t="s">
        <v>1289</v>
      </c>
      <c r="B1258" s="1">
        <v>43309</v>
      </c>
      <c r="C1258" t="s">
        <v>16</v>
      </c>
      <c r="D1258" t="s">
        <v>17</v>
      </c>
      <c r="E1258">
        <v>12</v>
      </c>
      <c r="F1258">
        <v>40</v>
      </c>
      <c r="G1258">
        <v>480</v>
      </c>
      <c r="H1258">
        <v>0.1</v>
      </c>
      <c r="I1258">
        <v>48</v>
      </c>
      <c r="J1258">
        <v>432</v>
      </c>
      <c r="K1258" t="s">
        <v>29</v>
      </c>
    </row>
    <row r="1259" spans="1:11" x14ac:dyDescent="0.3">
      <c r="A1259" t="s">
        <v>1290</v>
      </c>
      <c r="B1259" s="1">
        <v>43309</v>
      </c>
      <c r="C1259" t="s">
        <v>12</v>
      </c>
      <c r="D1259" t="s">
        <v>13</v>
      </c>
      <c r="E1259">
        <v>21</v>
      </c>
      <c r="F1259">
        <v>80</v>
      </c>
      <c r="G1259">
        <v>1680</v>
      </c>
      <c r="H1259">
        <v>0.04</v>
      </c>
      <c r="I1259">
        <v>67.2</v>
      </c>
      <c r="J1259">
        <v>1613</v>
      </c>
      <c r="K1259" t="s">
        <v>33</v>
      </c>
    </row>
    <row r="1260" spans="1:11" x14ac:dyDescent="0.3">
      <c r="A1260" t="s">
        <v>1291</v>
      </c>
      <c r="B1260" s="1">
        <v>43309</v>
      </c>
      <c r="C1260" t="s">
        <v>16</v>
      </c>
      <c r="D1260" t="s">
        <v>32</v>
      </c>
      <c r="E1260">
        <v>3</v>
      </c>
      <c r="F1260">
        <v>40</v>
      </c>
      <c r="G1260">
        <v>120</v>
      </c>
      <c r="H1260">
        <v>0.03</v>
      </c>
      <c r="I1260">
        <v>3.5999999999999996</v>
      </c>
      <c r="J1260">
        <v>116</v>
      </c>
      <c r="K1260" t="s">
        <v>36</v>
      </c>
    </row>
    <row r="1261" spans="1:11" x14ac:dyDescent="0.3">
      <c r="A1261" t="s">
        <v>1292</v>
      </c>
      <c r="B1261" s="1">
        <v>43309</v>
      </c>
      <c r="C1261" t="s">
        <v>12</v>
      </c>
      <c r="D1261" t="s">
        <v>32</v>
      </c>
      <c r="E1261">
        <v>22</v>
      </c>
      <c r="F1261">
        <v>80</v>
      </c>
      <c r="G1261">
        <v>1760</v>
      </c>
      <c r="H1261">
        <v>0.1</v>
      </c>
      <c r="I1261">
        <v>176</v>
      </c>
      <c r="J1261">
        <v>1584</v>
      </c>
      <c r="K1261" t="s">
        <v>38</v>
      </c>
    </row>
    <row r="1262" spans="1:11" x14ac:dyDescent="0.3">
      <c r="A1262" t="s">
        <v>1293</v>
      </c>
      <c r="B1262" s="1">
        <v>43309</v>
      </c>
      <c r="C1262" t="s">
        <v>16</v>
      </c>
      <c r="D1262" t="s">
        <v>32</v>
      </c>
      <c r="E1262">
        <v>16</v>
      </c>
      <c r="F1262">
        <v>40</v>
      </c>
      <c r="G1262">
        <v>640</v>
      </c>
      <c r="H1262">
        <v>0.11</v>
      </c>
      <c r="I1262">
        <v>70.400000000000006</v>
      </c>
      <c r="J1262">
        <v>570</v>
      </c>
      <c r="K1262" t="s">
        <v>40</v>
      </c>
    </row>
    <row r="1263" spans="1:11" x14ac:dyDescent="0.3">
      <c r="A1263" t="s">
        <v>1294</v>
      </c>
      <c r="B1263" s="1">
        <v>43309</v>
      </c>
      <c r="C1263" t="s">
        <v>31</v>
      </c>
      <c r="D1263" t="s">
        <v>13</v>
      </c>
      <c r="E1263">
        <v>11</v>
      </c>
      <c r="F1263">
        <v>16</v>
      </c>
      <c r="G1263">
        <v>176</v>
      </c>
      <c r="H1263">
        <v>0.09</v>
      </c>
      <c r="I1263">
        <v>15.84</v>
      </c>
      <c r="J1263">
        <v>160</v>
      </c>
      <c r="K1263" t="s">
        <v>42</v>
      </c>
    </row>
    <row r="1264" spans="1:11" x14ac:dyDescent="0.3">
      <c r="A1264" t="s">
        <v>1295</v>
      </c>
      <c r="B1264" s="1">
        <v>43310</v>
      </c>
      <c r="C1264" t="s">
        <v>12</v>
      </c>
      <c r="D1264" t="s">
        <v>25</v>
      </c>
      <c r="E1264">
        <v>10</v>
      </c>
      <c r="F1264">
        <v>80</v>
      </c>
      <c r="G1264">
        <v>800</v>
      </c>
      <c r="H1264">
        <v>0.08</v>
      </c>
      <c r="I1264">
        <v>64</v>
      </c>
      <c r="J1264">
        <v>736</v>
      </c>
      <c r="K1264" t="s">
        <v>44</v>
      </c>
    </row>
    <row r="1265" spans="1:11" x14ac:dyDescent="0.3">
      <c r="A1265" t="s">
        <v>1296</v>
      </c>
      <c r="B1265" s="1">
        <v>43310</v>
      </c>
      <c r="C1265" t="s">
        <v>31</v>
      </c>
      <c r="D1265" t="s">
        <v>25</v>
      </c>
      <c r="E1265">
        <v>12</v>
      </c>
      <c r="F1265">
        <v>16</v>
      </c>
      <c r="G1265">
        <v>192</v>
      </c>
      <c r="H1265">
        <v>0.03</v>
      </c>
      <c r="I1265">
        <v>5.76</v>
      </c>
      <c r="J1265">
        <v>186</v>
      </c>
      <c r="K1265" t="s">
        <v>14</v>
      </c>
    </row>
    <row r="1266" spans="1:11" x14ac:dyDescent="0.3">
      <c r="A1266" t="s">
        <v>1297</v>
      </c>
      <c r="B1266" s="1">
        <v>43310</v>
      </c>
      <c r="C1266" t="s">
        <v>35</v>
      </c>
      <c r="D1266" t="s">
        <v>13</v>
      </c>
      <c r="E1266">
        <v>8</v>
      </c>
      <c r="F1266">
        <v>150</v>
      </c>
      <c r="G1266">
        <v>1200</v>
      </c>
      <c r="H1266">
        <v>0.09</v>
      </c>
      <c r="I1266">
        <v>108</v>
      </c>
      <c r="J1266">
        <v>1092</v>
      </c>
      <c r="K1266" t="s">
        <v>18</v>
      </c>
    </row>
    <row r="1267" spans="1:11" x14ac:dyDescent="0.3">
      <c r="A1267" t="s">
        <v>1298</v>
      </c>
      <c r="B1267" s="1">
        <v>43310</v>
      </c>
      <c r="C1267" t="s">
        <v>16</v>
      </c>
      <c r="D1267" t="s">
        <v>32</v>
      </c>
      <c r="E1267">
        <v>10</v>
      </c>
      <c r="F1267">
        <v>40</v>
      </c>
      <c r="G1267">
        <v>400</v>
      </c>
      <c r="H1267">
        <v>0.03</v>
      </c>
      <c r="I1267">
        <v>12</v>
      </c>
      <c r="J1267">
        <v>388</v>
      </c>
      <c r="K1267" t="s">
        <v>21</v>
      </c>
    </row>
    <row r="1268" spans="1:11" x14ac:dyDescent="0.3">
      <c r="A1268" t="s">
        <v>1299</v>
      </c>
      <c r="B1268" s="1">
        <v>43310</v>
      </c>
      <c r="C1268" t="s">
        <v>35</v>
      </c>
      <c r="D1268" t="s">
        <v>13</v>
      </c>
      <c r="E1268">
        <v>7</v>
      </c>
      <c r="F1268">
        <v>150</v>
      </c>
      <c r="G1268">
        <v>1050</v>
      </c>
      <c r="H1268">
        <v>0.02</v>
      </c>
      <c r="I1268">
        <v>21</v>
      </c>
      <c r="J1268">
        <v>1029</v>
      </c>
      <c r="K1268" t="s">
        <v>23</v>
      </c>
    </row>
    <row r="1269" spans="1:11" x14ac:dyDescent="0.3">
      <c r="A1269" t="s">
        <v>1300</v>
      </c>
      <c r="B1269" s="1">
        <v>43310</v>
      </c>
      <c r="C1269" t="s">
        <v>31</v>
      </c>
      <c r="D1269" t="s">
        <v>25</v>
      </c>
      <c r="E1269">
        <v>6</v>
      </c>
      <c r="F1269">
        <v>16</v>
      </c>
      <c r="G1269">
        <v>96</v>
      </c>
      <c r="H1269">
        <v>0.01</v>
      </c>
      <c r="I1269">
        <v>0.96</v>
      </c>
      <c r="J1269">
        <v>95</v>
      </c>
      <c r="K1269" t="s">
        <v>26</v>
      </c>
    </row>
    <row r="1270" spans="1:11" x14ac:dyDescent="0.3">
      <c r="A1270" t="s">
        <v>1301</v>
      </c>
      <c r="B1270" s="1">
        <v>43310</v>
      </c>
      <c r="C1270" t="s">
        <v>12</v>
      </c>
      <c r="D1270" t="s">
        <v>28</v>
      </c>
      <c r="E1270">
        <v>15</v>
      </c>
      <c r="F1270">
        <v>80</v>
      </c>
      <c r="G1270">
        <v>1200</v>
      </c>
      <c r="H1270">
        <v>0.08</v>
      </c>
      <c r="I1270">
        <v>96</v>
      </c>
      <c r="J1270">
        <v>1104</v>
      </c>
      <c r="K1270" t="s">
        <v>29</v>
      </c>
    </row>
    <row r="1271" spans="1:11" x14ac:dyDescent="0.3">
      <c r="A1271" t="s">
        <v>1302</v>
      </c>
      <c r="B1271" s="1">
        <v>43310</v>
      </c>
      <c r="C1271" t="s">
        <v>31</v>
      </c>
      <c r="D1271" t="s">
        <v>32</v>
      </c>
      <c r="E1271">
        <v>13</v>
      </c>
      <c r="F1271">
        <v>16</v>
      </c>
      <c r="G1271">
        <v>208</v>
      </c>
      <c r="H1271">
        <v>7.0000000000000007E-2</v>
      </c>
      <c r="I1271">
        <v>14.560000000000002</v>
      </c>
      <c r="J1271">
        <v>193</v>
      </c>
      <c r="K1271" t="s">
        <v>18</v>
      </c>
    </row>
    <row r="1272" spans="1:11" x14ac:dyDescent="0.3">
      <c r="A1272" t="s">
        <v>1303</v>
      </c>
      <c r="B1272" s="1">
        <v>43310</v>
      </c>
      <c r="C1272" t="s">
        <v>20</v>
      </c>
      <c r="D1272" t="s">
        <v>28</v>
      </c>
      <c r="E1272">
        <v>19</v>
      </c>
      <c r="F1272">
        <v>230</v>
      </c>
      <c r="G1272">
        <v>4370</v>
      </c>
      <c r="H1272">
        <v>0.06</v>
      </c>
      <c r="I1272">
        <v>262.2</v>
      </c>
      <c r="J1272">
        <v>4108</v>
      </c>
      <c r="K1272" t="s">
        <v>21</v>
      </c>
    </row>
    <row r="1273" spans="1:11" x14ac:dyDescent="0.3">
      <c r="A1273" t="s">
        <v>1304</v>
      </c>
      <c r="B1273" s="1">
        <v>43310</v>
      </c>
      <c r="C1273" t="s">
        <v>12</v>
      </c>
      <c r="D1273" t="s">
        <v>28</v>
      </c>
      <c r="E1273">
        <v>21</v>
      </c>
      <c r="F1273">
        <v>80</v>
      </c>
      <c r="G1273">
        <v>1680</v>
      </c>
      <c r="H1273">
        <v>0.05</v>
      </c>
      <c r="I1273">
        <v>84</v>
      </c>
      <c r="J1273">
        <v>1596</v>
      </c>
      <c r="K1273" t="s">
        <v>23</v>
      </c>
    </row>
    <row r="1274" spans="1:11" x14ac:dyDescent="0.3">
      <c r="A1274" t="s">
        <v>1305</v>
      </c>
      <c r="B1274" s="1">
        <v>43310</v>
      </c>
      <c r="C1274" t="s">
        <v>12</v>
      </c>
      <c r="D1274" t="s">
        <v>17</v>
      </c>
      <c r="E1274">
        <v>5</v>
      </c>
      <c r="F1274">
        <v>80</v>
      </c>
      <c r="G1274">
        <v>400</v>
      </c>
      <c r="H1274">
        <v>7.0000000000000007E-2</v>
      </c>
      <c r="I1274">
        <v>28.000000000000004</v>
      </c>
      <c r="J1274">
        <v>372</v>
      </c>
      <c r="K1274" t="s">
        <v>26</v>
      </c>
    </row>
    <row r="1275" spans="1:11" x14ac:dyDescent="0.3">
      <c r="A1275" t="s">
        <v>1306</v>
      </c>
      <c r="B1275" s="1">
        <v>43310</v>
      </c>
      <c r="C1275" t="s">
        <v>31</v>
      </c>
      <c r="D1275" t="s">
        <v>25</v>
      </c>
      <c r="E1275">
        <v>8</v>
      </c>
      <c r="F1275">
        <v>16</v>
      </c>
      <c r="G1275">
        <v>128</v>
      </c>
      <c r="H1275">
        <v>0.03</v>
      </c>
      <c r="I1275">
        <v>3.84</v>
      </c>
      <c r="J1275">
        <v>124</v>
      </c>
      <c r="K1275" t="s">
        <v>29</v>
      </c>
    </row>
    <row r="1276" spans="1:11" x14ac:dyDescent="0.3">
      <c r="A1276" t="s">
        <v>1307</v>
      </c>
      <c r="B1276" s="1">
        <v>43310</v>
      </c>
      <c r="C1276" t="s">
        <v>31</v>
      </c>
      <c r="D1276" t="s">
        <v>25</v>
      </c>
      <c r="E1276">
        <v>12</v>
      </c>
      <c r="F1276">
        <v>16</v>
      </c>
      <c r="G1276">
        <v>192</v>
      </c>
      <c r="H1276">
        <v>0.11</v>
      </c>
      <c r="I1276">
        <v>21.12</v>
      </c>
      <c r="J1276">
        <v>171</v>
      </c>
      <c r="K1276" t="s">
        <v>33</v>
      </c>
    </row>
    <row r="1277" spans="1:11" x14ac:dyDescent="0.3">
      <c r="A1277" t="s">
        <v>1308</v>
      </c>
      <c r="B1277" s="1">
        <v>43310</v>
      </c>
      <c r="C1277" t="s">
        <v>12</v>
      </c>
      <c r="D1277" t="s">
        <v>28</v>
      </c>
      <c r="E1277">
        <v>22</v>
      </c>
      <c r="F1277">
        <v>80</v>
      </c>
      <c r="G1277">
        <v>1760</v>
      </c>
      <c r="H1277">
        <v>0.03</v>
      </c>
      <c r="I1277">
        <v>52.8</v>
      </c>
      <c r="J1277">
        <v>1707</v>
      </c>
      <c r="K1277" t="s">
        <v>36</v>
      </c>
    </row>
    <row r="1278" spans="1:11" x14ac:dyDescent="0.3">
      <c r="A1278" t="s">
        <v>1309</v>
      </c>
      <c r="B1278" s="1">
        <v>43310</v>
      </c>
      <c r="C1278" t="s">
        <v>16</v>
      </c>
      <c r="D1278" t="s">
        <v>13</v>
      </c>
      <c r="E1278">
        <v>5</v>
      </c>
      <c r="F1278">
        <v>40</v>
      </c>
      <c r="G1278">
        <v>200</v>
      </c>
      <c r="H1278">
        <v>0.09</v>
      </c>
      <c r="I1278">
        <v>18</v>
      </c>
      <c r="J1278">
        <v>182</v>
      </c>
      <c r="K1278" t="s">
        <v>38</v>
      </c>
    </row>
    <row r="1279" spans="1:11" x14ac:dyDescent="0.3">
      <c r="A1279" t="s">
        <v>1310</v>
      </c>
      <c r="B1279" s="1">
        <v>43311</v>
      </c>
      <c r="C1279" t="s">
        <v>35</v>
      </c>
      <c r="D1279" t="s">
        <v>17</v>
      </c>
      <c r="E1279">
        <v>23</v>
      </c>
      <c r="F1279">
        <v>150</v>
      </c>
      <c r="G1279">
        <v>3450</v>
      </c>
      <c r="H1279">
        <v>0.11</v>
      </c>
      <c r="I1279">
        <v>379.5</v>
      </c>
      <c r="J1279">
        <v>3070</v>
      </c>
      <c r="K1279" t="s">
        <v>40</v>
      </c>
    </row>
    <row r="1280" spans="1:11" x14ac:dyDescent="0.3">
      <c r="A1280" t="s">
        <v>1311</v>
      </c>
      <c r="B1280" s="1">
        <v>43311</v>
      </c>
      <c r="C1280" t="s">
        <v>12</v>
      </c>
      <c r="D1280" t="s">
        <v>13</v>
      </c>
      <c r="E1280">
        <v>16</v>
      </c>
      <c r="F1280">
        <v>80</v>
      </c>
      <c r="G1280">
        <v>1280</v>
      </c>
      <c r="H1280">
        <v>0.03</v>
      </c>
      <c r="I1280">
        <v>38.4</v>
      </c>
      <c r="J1280">
        <v>1242</v>
      </c>
      <c r="K1280" t="s">
        <v>42</v>
      </c>
    </row>
    <row r="1281" spans="1:11" x14ac:dyDescent="0.3">
      <c r="A1281" t="s">
        <v>1312</v>
      </c>
      <c r="B1281" s="1">
        <v>43311</v>
      </c>
      <c r="C1281" t="s">
        <v>35</v>
      </c>
      <c r="D1281" t="s">
        <v>32</v>
      </c>
      <c r="E1281">
        <v>15</v>
      </c>
      <c r="F1281">
        <v>150</v>
      </c>
      <c r="G1281">
        <v>2250</v>
      </c>
      <c r="H1281">
        <v>7.0000000000000007E-2</v>
      </c>
      <c r="I1281">
        <v>157.50000000000003</v>
      </c>
      <c r="J1281">
        <v>2092</v>
      </c>
      <c r="K1281" t="s">
        <v>44</v>
      </c>
    </row>
    <row r="1282" spans="1:11" x14ac:dyDescent="0.3">
      <c r="A1282" t="s">
        <v>1313</v>
      </c>
      <c r="B1282" s="1">
        <v>43311</v>
      </c>
      <c r="C1282" t="s">
        <v>16</v>
      </c>
      <c r="D1282" t="s">
        <v>13</v>
      </c>
      <c r="E1282">
        <v>20</v>
      </c>
      <c r="F1282">
        <v>40</v>
      </c>
      <c r="G1282">
        <v>800</v>
      </c>
      <c r="H1282">
        <v>0.04</v>
      </c>
      <c r="I1282">
        <v>32</v>
      </c>
      <c r="J1282">
        <v>768</v>
      </c>
      <c r="K1282" t="s">
        <v>14</v>
      </c>
    </row>
    <row r="1283" spans="1:11" x14ac:dyDescent="0.3">
      <c r="A1283" t="s">
        <v>1314</v>
      </c>
      <c r="B1283" s="1">
        <v>43311</v>
      </c>
      <c r="C1283" t="s">
        <v>20</v>
      </c>
      <c r="D1283" t="s">
        <v>25</v>
      </c>
      <c r="E1283">
        <v>10</v>
      </c>
      <c r="F1283">
        <v>230</v>
      </c>
      <c r="G1283">
        <v>2300</v>
      </c>
      <c r="H1283">
        <v>0.02</v>
      </c>
      <c r="I1283">
        <v>46</v>
      </c>
      <c r="J1283">
        <v>2254</v>
      </c>
      <c r="K1283" t="s">
        <v>18</v>
      </c>
    </row>
    <row r="1284" spans="1:11" x14ac:dyDescent="0.3">
      <c r="A1284" t="s">
        <v>1315</v>
      </c>
      <c r="B1284" s="1">
        <v>43311</v>
      </c>
      <c r="C1284" t="s">
        <v>12</v>
      </c>
      <c r="D1284" t="s">
        <v>17</v>
      </c>
      <c r="E1284">
        <v>9</v>
      </c>
      <c r="F1284">
        <v>80</v>
      </c>
      <c r="G1284">
        <v>720</v>
      </c>
      <c r="H1284">
        <v>0.03</v>
      </c>
      <c r="I1284">
        <v>21.599999999999998</v>
      </c>
      <c r="J1284">
        <v>698</v>
      </c>
      <c r="K1284" t="s">
        <v>21</v>
      </c>
    </row>
    <row r="1285" spans="1:11" x14ac:dyDescent="0.3">
      <c r="A1285" t="s">
        <v>1316</v>
      </c>
      <c r="B1285" s="1">
        <v>43311</v>
      </c>
      <c r="C1285" t="s">
        <v>20</v>
      </c>
      <c r="D1285" t="s">
        <v>13</v>
      </c>
      <c r="E1285">
        <v>16</v>
      </c>
      <c r="F1285">
        <v>230</v>
      </c>
      <c r="G1285">
        <v>3680</v>
      </c>
      <c r="H1285">
        <v>7.0000000000000007E-2</v>
      </c>
      <c r="I1285">
        <v>257.60000000000002</v>
      </c>
      <c r="J1285">
        <v>3422</v>
      </c>
      <c r="K1285" t="s">
        <v>23</v>
      </c>
    </row>
    <row r="1286" spans="1:11" x14ac:dyDescent="0.3">
      <c r="A1286" t="s">
        <v>1317</v>
      </c>
      <c r="B1286" s="1">
        <v>43311</v>
      </c>
      <c r="C1286" t="s">
        <v>12</v>
      </c>
      <c r="D1286" t="s">
        <v>17</v>
      </c>
      <c r="E1286">
        <v>21</v>
      </c>
      <c r="F1286">
        <v>80</v>
      </c>
      <c r="G1286">
        <v>1680</v>
      </c>
      <c r="H1286">
        <v>0.04</v>
      </c>
      <c r="I1286">
        <v>67.2</v>
      </c>
      <c r="J1286">
        <v>1613</v>
      </c>
      <c r="K1286" t="s">
        <v>26</v>
      </c>
    </row>
    <row r="1287" spans="1:11" x14ac:dyDescent="0.3">
      <c r="A1287" t="s">
        <v>1318</v>
      </c>
      <c r="B1287" s="1">
        <v>43311</v>
      </c>
      <c r="C1287" t="s">
        <v>12</v>
      </c>
      <c r="D1287" t="s">
        <v>17</v>
      </c>
      <c r="E1287">
        <v>9</v>
      </c>
      <c r="F1287">
        <v>80</v>
      </c>
      <c r="G1287">
        <v>720</v>
      </c>
      <c r="H1287">
        <v>0.03</v>
      </c>
      <c r="I1287">
        <v>21.599999999999998</v>
      </c>
      <c r="J1287">
        <v>698</v>
      </c>
      <c r="K1287" t="s">
        <v>29</v>
      </c>
    </row>
    <row r="1288" spans="1:11" x14ac:dyDescent="0.3">
      <c r="A1288" t="s">
        <v>1319</v>
      </c>
      <c r="B1288" s="1">
        <v>43311</v>
      </c>
      <c r="C1288" t="s">
        <v>16</v>
      </c>
      <c r="D1288" t="s">
        <v>17</v>
      </c>
      <c r="E1288">
        <v>4</v>
      </c>
      <c r="F1288">
        <v>40</v>
      </c>
      <c r="G1288">
        <v>160</v>
      </c>
      <c r="H1288">
        <v>0.12</v>
      </c>
      <c r="I1288">
        <v>19.2</v>
      </c>
      <c r="J1288">
        <v>141</v>
      </c>
      <c r="K1288" t="s">
        <v>18</v>
      </c>
    </row>
    <row r="1289" spans="1:11" x14ac:dyDescent="0.3">
      <c r="A1289" t="s">
        <v>1320</v>
      </c>
      <c r="B1289" s="1">
        <v>43311</v>
      </c>
      <c r="C1289" t="s">
        <v>20</v>
      </c>
      <c r="D1289" t="s">
        <v>25</v>
      </c>
      <c r="E1289">
        <v>5</v>
      </c>
      <c r="F1289">
        <v>230</v>
      </c>
      <c r="G1289">
        <v>1150</v>
      </c>
      <c r="H1289">
        <v>0.01</v>
      </c>
      <c r="I1289">
        <v>11.5</v>
      </c>
      <c r="J1289">
        <v>1138</v>
      </c>
      <c r="K1289" t="s">
        <v>21</v>
      </c>
    </row>
    <row r="1290" spans="1:11" x14ac:dyDescent="0.3">
      <c r="A1290" t="s">
        <v>1321</v>
      </c>
      <c r="B1290" s="1">
        <v>43311</v>
      </c>
      <c r="C1290" t="s">
        <v>31</v>
      </c>
      <c r="D1290" t="s">
        <v>13</v>
      </c>
      <c r="E1290">
        <v>18</v>
      </c>
      <c r="F1290">
        <v>16</v>
      </c>
      <c r="G1290">
        <v>288</v>
      </c>
      <c r="H1290">
        <v>0.05</v>
      </c>
      <c r="I1290">
        <v>14.4</v>
      </c>
      <c r="J1290">
        <v>274</v>
      </c>
      <c r="K1290" t="s">
        <v>23</v>
      </c>
    </row>
    <row r="1291" spans="1:11" x14ac:dyDescent="0.3">
      <c r="A1291" t="s">
        <v>1322</v>
      </c>
      <c r="B1291" s="1">
        <v>43312</v>
      </c>
      <c r="C1291" t="s">
        <v>12</v>
      </c>
      <c r="D1291" t="s">
        <v>25</v>
      </c>
      <c r="E1291">
        <v>6</v>
      </c>
      <c r="F1291">
        <v>80</v>
      </c>
      <c r="G1291">
        <v>480</v>
      </c>
      <c r="H1291">
        <v>0.01</v>
      </c>
      <c r="I1291">
        <v>4.8</v>
      </c>
      <c r="J1291">
        <v>475</v>
      </c>
      <c r="K1291" t="s">
        <v>26</v>
      </c>
    </row>
    <row r="1292" spans="1:11" x14ac:dyDescent="0.3">
      <c r="A1292" t="s">
        <v>1323</v>
      </c>
      <c r="B1292" s="1">
        <v>43312</v>
      </c>
      <c r="C1292" t="s">
        <v>35</v>
      </c>
      <c r="D1292" t="s">
        <v>32</v>
      </c>
      <c r="E1292">
        <v>4</v>
      </c>
      <c r="F1292">
        <v>150</v>
      </c>
      <c r="G1292">
        <v>600</v>
      </c>
      <c r="H1292">
        <v>0.05</v>
      </c>
      <c r="I1292">
        <v>30</v>
      </c>
      <c r="J1292">
        <v>570</v>
      </c>
      <c r="K1292" t="s">
        <v>29</v>
      </c>
    </row>
    <row r="1293" spans="1:11" x14ac:dyDescent="0.3">
      <c r="A1293" t="s">
        <v>1324</v>
      </c>
      <c r="B1293" s="1">
        <v>43312</v>
      </c>
      <c r="C1293" t="s">
        <v>20</v>
      </c>
      <c r="D1293" t="s">
        <v>32</v>
      </c>
      <c r="E1293">
        <v>21</v>
      </c>
      <c r="F1293">
        <v>230</v>
      </c>
      <c r="G1293">
        <v>4830</v>
      </c>
      <c r="H1293">
        <v>0.05</v>
      </c>
      <c r="I1293">
        <v>241.5</v>
      </c>
      <c r="J1293">
        <v>4588</v>
      </c>
      <c r="K1293" t="s">
        <v>33</v>
      </c>
    </row>
    <row r="1294" spans="1:11" x14ac:dyDescent="0.3">
      <c r="A1294" t="s">
        <v>1325</v>
      </c>
      <c r="B1294" s="1">
        <v>43312</v>
      </c>
      <c r="C1294" t="s">
        <v>35</v>
      </c>
      <c r="D1294" t="s">
        <v>13</v>
      </c>
      <c r="E1294">
        <v>4</v>
      </c>
      <c r="F1294">
        <v>150</v>
      </c>
      <c r="G1294">
        <v>600</v>
      </c>
      <c r="H1294">
        <v>0.06</v>
      </c>
      <c r="I1294">
        <v>36</v>
      </c>
      <c r="J1294">
        <v>564</v>
      </c>
      <c r="K1294" t="s">
        <v>36</v>
      </c>
    </row>
    <row r="1295" spans="1:11" x14ac:dyDescent="0.3">
      <c r="A1295" t="s">
        <v>1326</v>
      </c>
      <c r="B1295" s="1">
        <v>43312</v>
      </c>
      <c r="C1295" t="s">
        <v>12</v>
      </c>
      <c r="D1295" t="s">
        <v>17</v>
      </c>
      <c r="E1295">
        <v>2</v>
      </c>
      <c r="F1295">
        <v>80</v>
      </c>
      <c r="G1295">
        <v>160</v>
      </c>
      <c r="H1295">
        <v>0.04</v>
      </c>
      <c r="I1295">
        <v>6.4</v>
      </c>
      <c r="J1295">
        <v>154</v>
      </c>
      <c r="K1295" t="s">
        <v>38</v>
      </c>
    </row>
    <row r="1296" spans="1:11" x14ac:dyDescent="0.3">
      <c r="A1296" t="s">
        <v>1327</v>
      </c>
      <c r="B1296" s="1">
        <v>43312</v>
      </c>
      <c r="C1296" t="s">
        <v>31</v>
      </c>
      <c r="D1296" t="s">
        <v>17</v>
      </c>
      <c r="E1296">
        <v>5</v>
      </c>
      <c r="F1296">
        <v>16</v>
      </c>
      <c r="G1296">
        <v>80</v>
      </c>
      <c r="H1296">
        <v>0.11</v>
      </c>
      <c r="I1296">
        <v>8.8000000000000007</v>
      </c>
      <c r="J1296">
        <v>71</v>
      </c>
      <c r="K1296" t="s">
        <v>40</v>
      </c>
    </row>
    <row r="1297" spans="1:11" x14ac:dyDescent="0.3">
      <c r="A1297" t="s">
        <v>1328</v>
      </c>
      <c r="B1297" s="1">
        <v>43312</v>
      </c>
      <c r="C1297" t="s">
        <v>35</v>
      </c>
      <c r="D1297" t="s">
        <v>32</v>
      </c>
      <c r="E1297">
        <v>23</v>
      </c>
      <c r="F1297">
        <v>150</v>
      </c>
      <c r="G1297">
        <v>3450</v>
      </c>
      <c r="H1297">
        <v>0.08</v>
      </c>
      <c r="I1297">
        <v>276</v>
      </c>
      <c r="J1297">
        <v>3174</v>
      </c>
      <c r="K1297" t="s">
        <v>42</v>
      </c>
    </row>
    <row r="1298" spans="1:11" x14ac:dyDescent="0.3">
      <c r="A1298" t="s">
        <v>1329</v>
      </c>
      <c r="B1298" s="1">
        <v>43312</v>
      </c>
      <c r="C1298" t="s">
        <v>12</v>
      </c>
      <c r="D1298" t="s">
        <v>17</v>
      </c>
      <c r="E1298">
        <v>3</v>
      </c>
      <c r="F1298">
        <v>80</v>
      </c>
      <c r="G1298">
        <v>240</v>
      </c>
      <c r="H1298">
        <v>0.02</v>
      </c>
      <c r="I1298">
        <v>4.8</v>
      </c>
      <c r="J1298">
        <v>235</v>
      </c>
      <c r="K1298" t="s">
        <v>44</v>
      </c>
    </row>
    <row r="1299" spans="1:11" x14ac:dyDescent="0.3">
      <c r="A1299" t="s">
        <v>1330</v>
      </c>
      <c r="B1299" s="1">
        <v>43312</v>
      </c>
      <c r="C1299" t="s">
        <v>20</v>
      </c>
      <c r="D1299" t="s">
        <v>32</v>
      </c>
      <c r="E1299">
        <v>17</v>
      </c>
      <c r="F1299">
        <v>230</v>
      </c>
      <c r="G1299">
        <v>3910</v>
      </c>
      <c r="H1299">
        <v>0.11</v>
      </c>
      <c r="I1299">
        <v>430.1</v>
      </c>
      <c r="J1299">
        <v>3480</v>
      </c>
      <c r="K1299" t="s">
        <v>14</v>
      </c>
    </row>
    <row r="1300" spans="1:11" x14ac:dyDescent="0.3">
      <c r="A1300" t="s">
        <v>1331</v>
      </c>
      <c r="B1300" s="1">
        <v>43312</v>
      </c>
      <c r="C1300" t="s">
        <v>16</v>
      </c>
      <c r="D1300" t="s">
        <v>25</v>
      </c>
      <c r="E1300">
        <v>11</v>
      </c>
      <c r="F1300">
        <v>40</v>
      </c>
      <c r="G1300">
        <v>440</v>
      </c>
      <c r="H1300">
        <v>0.05</v>
      </c>
      <c r="I1300">
        <v>22</v>
      </c>
      <c r="J1300">
        <v>418</v>
      </c>
      <c r="K1300" t="s">
        <v>18</v>
      </c>
    </row>
    <row r="1301" spans="1:11" x14ac:dyDescent="0.3">
      <c r="A1301" t="s">
        <v>1332</v>
      </c>
      <c r="B1301" s="1">
        <v>43312</v>
      </c>
      <c r="C1301" t="s">
        <v>16</v>
      </c>
      <c r="D1301" t="s">
        <v>25</v>
      </c>
      <c r="E1301">
        <v>13</v>
      </c>
      <c r="F1301">
        <v>40</v>
      </c>
      <c r="G1301">
        <v>520</v>
      </c>
      <c r="H1301">
        <v>0.02</v>
      </c>
      <c r="I1301">
        <v>10.4</v>
      </c>
      <c r="J1301">
        <v>510</v>
      </c>
      <c r="K130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338A-81DC-4677-8DAE-29536C856776}">
  <dimension ref="A1:J96"/>
  <sheetViews>
    <sheetView workbookViewId="0">
      <selection activeCell="C5" sqref="C5"/>
    </sheetView>
  </sheetViews>
  <sheetFormatPr defaultRowHeight="14.4" x14ac:dyDescent="0.3"/>
  <cols>
    <col min="1" max="1" width="12.5546875" bestFit="1" customWidth="1"/>
    <col min="2" max="2" width="17.5546875" bestFit="1" customWidth="1"/>
    <col min="3" max="4" width="16.44140625" bestFit="1" customWidth="1"/>
    <col min="7" max="7" width="20.88671875" bestFit="1" customWidth="1"/>
    <col min="10" max="10" width="15.21875" bestFit="1" customWidth="1"/>
  </cols>
  <sheetData>
    <row r="1" spans="1:10" ht="23.4" x14ac:dyDescent="0.45">
      <c r="A1" s="2" t="s">
        <v>1341</v>
      </c>
    </row>
    <row r="2" spans="1:10" x14ac:dyDescent="0.3">
      <c r="A2" t="s">
        <v>1333</v>
      </c>
      <c r="D2" t="s">
        <v>1334</v>
      </c>
      <c r="G2" t="s">
        <v>1335</v>
      </c>
      <c r="J2" t="s">
        <v>1336</v>
      </c>
    </row>
    <row r="3" spans="1:10" x14ac:dyDescent="0.3">
      <c r="A3" t="s">
        <v>1337</v>
      </c>
      <c r="D3" t="s">
        <v>1338</v>
      </c>
      <c r="G3" t="s">
        <v>1339</v>
      </c>
      <c r="J3" t="s">
        <v>1340</v>
      </c>
    </row>
    <row r="4" spans="1:10" x14ac:dyDescent="0.3">
      <c r="A4">
        <v>1300</v>
      </c>
      <c r="D4">
        <v>1585146</v>
      </c>
      <c r="G4">
        <v>100160.23999999989</v>
      </c>
      <c r="J4">
        <v>1484985</v>
      </c>
    </row>
    <row r="7" spans="1:10" ht="23.4" x14ac:dyDescent="0.45">
      <c r="A7" s="2" t="s">
        <v>1342</v>
      </c>
    </row>
    <row r="8" spans="1:10" x14ac:dyDescent="0.3">
      <c r="A8" t="s">
        <v>1343</v>
      </c>
    </row>
    <row r="10" spans="1:10" x14ac:dyDescent="0.3">
      <c r="A10" s="3" t="s">
        <v>1344</v>
      </c>
      <c r="B10" t="s">
        <v>1346</v>
      </c>
    </row>
    <row r="11" spans="1:10" x14ac:dyDescent="0.3">
      <c r="A11" s="4" t="s">
        <v>31</v>
      </c>
      <c r="B11">
        <v>3071</v>
      </c>
    </row>
    <row r="12" spans="1:10" x14ac:dyDescent="0.3">
      <c r="A12" s="4" t="s">
        <v>20</v>
      </c>
      <c r="B12">
        <v>2648</v>
      </c>
    </row>
    <row r="13" spans="1:10" x14ac:dyDescent="0.3">
      <c r="A13" s="4" t="s">
        <v>12</v>
      </c>
      <c r="B13">
        <v>3823</v>
      </c>
    </row>
    <row r="14" spans="1:10" x14ac:dyDescent="0.3">
      <c r="A14" s="4" t="s">
        <v>35</v>
      </c>
      <c r="B14">
        <v>3067</v>
      </c>
    </row>
    <row r="15" spans="1:10" x14ac:dyDescent="0.3">
      <c r="A15" s="4" t="s">
        <v>16</v>
      </c>
      <c r="B15">
        <v>4027</v>
      </c>
    </row>
    <row r="16" spans="1:10" x14ac:dyDescent="0.3">
      <c r="A16" s="4" t="s">
        <v>1345</v>
      </c>
      <c r="B16">
        <v>16636</v>
      </c>
    </row>
    <row r="20" spans="1:2" x14ac:dyDescent="0.3">
      <c r="A20" t="s">
        <v>1347</v>
      </c>
    </row>
    <row r="22" spans="1:2" x14ac:dyDescent="0.3">
      <c r="A22" s="3" t="s">
        <v>1344</v>
      </c>
      <c r="B22" t="s">
        <v>1338</v>
      </c>
    </row>
    <row r="23" spans="1:2" x14ac:dyDescent="0.3">
      <c r="A23" s="4" t="s">
        <v>32</v>
      </c>
      <c r="B23">
        <v>306530</v>
      </c>
    </row>
    <row r="24" spans="1:2" x14ac:dyDescent="0.3">
      <c r="A24" s="4" t="s">
        <v>13</v>
      </c>
      <c r="B24">
        <v>320220</v>
      </c>
    </row>
    <row r="25" spans="1:2" x14ac:dyDescent="0.3">
      <c r="A25" s="4" t="s">
        <v>25</v>
      </c>
      <c r="B25">
        <v>307656</v>
      </c>
    </row>
    <row r="26" spans="1:2" x14ac:dyDescent="0.3">
      <c r="A26" s="4" t="s">
        <v>17</v>
      </c>
      <c r="B26">
        <v>321258</v>
      </c>
    </row>
    <row r="27" spans="1:2" x14ac:dyDescent="0.3">
      <c r="A27" s="4" t="s">
        <v>28</v>
      </c>
      <c r="B27">
        <v>329482</v>
      </c>
    </row>
    <row r="28" spans="1:2" x14ac:dyDescent="0.3">
      <c r="A28" s="4" t="s">
        <v>1345</v>
      </c>
      <c r="B28">
        <v>1585146</v>
      </c>
    </row>
    <row r="32" spans="1:2" x14ac:dyDescent="0.3">
      <c r="A32" t="s">
        <v>1348</v>
      </c>
    </row>
    <row r="34" spans="1:5" x14ac:dyDescent="0.3">
      <c r="A34" s="3" t="s">
        <v>1344</v>
      </c>
      <c r="B34" t="s">
        <v>1339</v>
      </c>
    </row>
    <row r="35" spans="1:5" x14ac:dyDescent="0.3">
      <c r="A35" s="4" t="s">
        <v>32</v>
      </c>
      <c r="B35">
        <v>23576.700000000012</v>
      </c>
    </row>
    <row r="36" spans="1:5" x14ac:dyDescent="0.3">
      <c r="A36" s="4" t="s">
        <v>13</v>
      </c>
      <c r="B36">
        <v>17874.340000000018</v>
      </c>
    </row>
    <row r="37" spans="1:5" x14ac:dyDescent="0.3">
      <c r="A37" s="4" t="s">
        <v>25</v>
      </c>
      <c r="B37">
        <v>17621.360000000004</v>
      </c>
    </row>
    <row r="38" spans="1:5" x14ac:dyDescent="0.3">
      <c r="A38" s="4" t="s">
        <v>17</v>
      </c>
      <c r="B38">
        <v>21012.360000000004</v>
      </c>
    </row>
    <row r="39" spans="1:5" x14ac:dyDescent="0.3">
      <c r="A39" s="4" t="s">
        <v>28</v>
      </c>
      <c r="B39">
        <v>20075.480000000003</v>
      </c>
    </row>
    <row r="40" spans="1:5" x14ac:dyDescent="0.3">
      <c r="A40" s="4" t="s">
        <v>1345</v>
      </c>
      <c r="B40">
        <v>100160.24000000005</v>
      </c>
    </row>
    <row r="44" spans="1:5" x14ac:dyDescent="0.3">
      <c r="A44" t="s">
        <v>1349</v>
      </c>
    </row>
    <row r="46" spans="1:5" x14ac:dyDescent="0.3">
      <c r="A46" s="3" t="s">
        <v>1344</v>
      </c>
      <c r="B46" t="s">
        <v>1337</v>
      </c>
    </row>
    <row r="47" spans="1:5" x14ac:dyDescent="0.3">
      <c r="A47" s="4" t="s">
        <v>29</v>
      </c>
      <c r="B47">
        <v>104</v>
      </c>
    </row>
    <row r="48" spans="1:5" x14ac:dyDescent="0.3">
      <c r="A48" s="4" t="s">
        <v>23</v>
      </c>
      <c r="B48">
        <v>105</v>
      </c>
      <c r="D48" t="str">
        <f t="shared" ref="D48:D59" si="0">A47</f>
        <v>Bihar</v>
      </c>
      <c r="E48">
        <f t="shared" ref="E48:E59" si="1">B47</f>
        <v>104</v>
      </c>
    </row>
    <row r="49" spans="1:5" x14ac:dyDescent="0.3">
      <c r="A49" s="4" t="s">
        <v>33</v>
      </c>
      <c r="B49">
        <v>120</v>
      </c>
      <c r="D49" t="str">
        <f t="shared" si="0"/>
        <v>Delhi</v>
      </c>
      <c r="E49">
        <f t="shared" si="1"/>
        <v>105</v>
      </c>
    </row>
    <row r="50" spans="1:5" x14ac:dyDescent="0.3">
      <c r="A50" s="4" t="s">
        <v>38</v>
      </c>
      <c r="B50">
        <v>163</v>
      </c>
      <c r="D50" t="str">
        <f t="shared" si="0"/>
        <v>Goa</v>
      </c>
      <c r="E50">
        <f t="shared" si="1"/>
        <v>120</v>
      </c>
    </row>
    <row r="51" spans="1:5" x14ac:dyDescent="0.3">
      <c r="A51" s="4" t="s">
        <v>42</v>
      </c>
      <c r="B51">
        <v>68</v>
      </c>
      <c r="D51" t="str">
        <f t="shared" si="0"/>
        <v>Gujarat</v>
      </c>
      <c r="E51">
        <f t="shared" si="1"/>
        <v>163</v>
      </c>
    </row>
    <row r="52" spans="1:5" x14ac:dyDescent="0.3">
      <c r="A52" s="4" t="s">
        <v>40</v>
      </c>
      <c r="B52">
        <v>119</v>
      </c>
      <c r="D52" t="str">
        <f t="shared" si="0"/>
        <v>Haryana</v>
      </c>
      <c r="E52">
        <f t="shared" si="1"/>
        <v>68</v>
      </c>
    </row>
    <row r="53" spans="1:5" x14ac:dyDescent="0.3">
      <c r="A53" s="4" t="s">
        <v>36</v>
      </c>
      <c r="B53">
        <v>119</v>
      </c>
      <c r="D53" t="str">
        <f t="shared" si="0"/>
        <v>Jharkhand</v>
      </c>
      <c r="E53">
        <f t="shared" si="1"/>
        <v>119</v>
      </c>
    </row>
    <row r="54" spans="1:5" x14ac:dyDescent="0.3">
      <c r="A54" s="4" t="s">
        <v>44</v>
      </c>
      <c r="B54">
        <v>68</v>
      </c>
      <c r="D54" t="str">
        <f t="shared" si="0"/>
        <v>Karnataka</v>
      </c>
      <c r="E54">
        <f t="shared" si="1"/>
        <v>119</v>
      </c>
    </row>
    <row r="55" spans="1:5" x14ac:dyDescent="0.3">
      <c r="A55" s="4" t="s">
        <v>21</v>
      </c>
      <c r="B55">
        <v>150</v>
      </c>
      <c r="D55" t="str">
        <f t="shared" si="0"/>
        <v>Kerala</v>
      </c>
      <c r="E55">
        <f t="shared" si="1"/>
        <v>68</v>
      </c>
    </row>
    <row r="56" spans="1:5" x14ac:dyDescent="0.3">
      <c r="A56" s="4" t="s">
        <v>14</v>
      </c>
      <c r="B56">
        <v>76</v>
      </c>
      <c r="D56" t="str">
        <f t="shared" si="0"/>
        <v>Maharashtra</v>
      </c>
      <c r="E56">
        <f t="shared" si="1"/>
        <v>150</v>
      </c>
    </row>
    <row r="57" spans="1:5" x14ac:dyDescent="0.3">
      <c r="A57" s="4" t="s">
        <v>18</v>
      </c>
      <c r="B57">
        <v>105</v>
      </c>
      <c r="D57" t="str">
        <f t="shared" si="0"/>
        <v>Meghalaya</v>
      </c>
      <c r="E57">
        <f t="shared" si="1"/>
        <v>76</v>
      </c>
    </row>
    <row r="58" spans="1:5" x14ac:dyDescent="0.3">
      <c r="A58" s="4" t="s">
        <v>26</v>
      </c>
      <c r="B58">
        <v>103</v>
      </c>
      <c r="D58" t="str">
        <f t="shared" si="0"/>
        <v>Uttar Pradesh</v>
      </c>
      <c r="E58">
        <f t="shared" si="1"/>
        <v>105</v>
      </c>
    </row>
    <row r="59" spans="1:5" x14ac:dyDescent="0.3">
      <c r="A59" s="4" t="s">
        <v>1345</v>
      </c>
      <c r="B59">
        <v>1300</v>
      </c>
      <c r="D59" t="str">
        <f t="shared" si="0"/>
        <v>West Bengal</v>
      </c>
      <c r="E59">
        <f t="shared" si="1"/>
        <v>103</v>
      </c>
    </row>
    <row r="62" spans="1:5" x14ac:dyDescent="0.3">
      <c r="A62" t="s">
        <v>1350</v>
      </c>
    </row>
    <row r="64" spans="1:5" x14ac:dyDescent="0.3">
      <c r="A64" s="3" t="s">
        <v>1344</v>
      </c>
      <c r="B64" t="s">
        <v>1337</v>
      </c>
    </row>
    <row r="65" spans="1:2" x14ac:dyDescent="0.3">
      <c r="A65" s="5">
        <v>43282</v>
      </c>
      <c r="B65">
        <v>39</v>
      </c>
    </row>
    <row r="66" spans="1:2" x14ac:dyDescent="0.3">
      <c r="A66" s="5">
        <v>43283</v>
      </c>
      <c r="B66">
        <v>33</v>
      </c>
    </row>
    <row r="67" spans="1:2" x14ac:dyDescent="0.3">
      <c r="A67" s="5">
        <v>43284</v>
      </c>
      <c r="B67">
        <v>36</v>
      </c>
    </row>
    <row r="68" spans="1:2" x14ac:dyDescent="0.3">
      <c r="A68" s="5">
        <v>43285</v>
      </c>
      <c r="B68">
        <v>35</v>
      </c>
    </row>
    <row r="69" spans="1:2" x14ac:dyDescent="0.3">
      <c r="A69" s="5">
        <v>43286</v>
      </c>
      <c r="B69">
        <v>42</v>
      </c>
    </row>
    <row r="70" spans="1:2" x14ac:dyDescent="0.3">
      <c r="A70" s="5">
        <v>43287</v>
      </c>
      <c r="B70">
        <v>47</v>
      </c>
    </row>
    <row r="71" spans="1:2" x14ac:dyDescent="0.3">
      <c r="A71" s="5">
        <v>43288</v>
      </c>
      <c r="B71">
        <v>53</v>
      </c>
    </row>
    <row r="72" spans="1:2" x14ac:dyDescent="0.3">
      <c r="A72" s="5">
        <v>43289</v>
      </c>
      <c r="B72">
        <v>50</v>
      </c>
    </row>
    <row r="73" spans="1:2" x14ac:dyDescent="0.3">
      <c r="A73" s="5">
        <v>43290</v>
      </c>
      <c r="B73">
        <v>38</v>
      </c>
    </row>
    <row r="74" spans="1:2" x14ac:dyDescent="0.3">
      <c r="A74" s="5">
        <v>43291</v>
      </c>
      <c r="B74">
        <v>50</v>
      </c>
    </row>
    <row r="75" spans="1:2" x14ac:dyDescent="0.3">
      <c r="A75" s="5">
        <v>43292</v>
      </c>
      <c r="B75">
        <v>43</v>
      </c>
    </row>
    <row r="76" spans="1:2" x14ac:dyDescent="0.3">
      <c r="A76" s="5">
        <v>43293</v>
      </c>
      <c r="B76">
        <v>30</v>
      </c>
    </row>
    <row r="77" spans="1:2" x14ac:dyDescent="0.3">
      <c r="A77" s="5">
        <v>43294</v>
      </c>
      <c r="B77">
        <v>48</v>
      </c>
    </row>
    <row r="78" spans="1:2" x14ac:dyDescent="0.3">
      <c r="A78" s="5">
        <v>43295</v>
      </c>
      <c r="B78">
        <v>46</v>
      </c>
    </row>
    <row r="79" spans="1:2" x14ac:dyDescent="0.3">
      <c r="A79" s="5">
        <v>43296</v>
      </c>
      <c r="B79">
        <v>45</v>
      </c>
    </row>
    <row r="80" spans="1:2" x14ac:dyDescent="0.3">
      <c r="A80" s="5">
        <v>43297</v>
      </c>
      <c r="B80">
        <v>48</v>
      </c>
    </row>
    <row r="81" spans="1:2" x14ac:dyDescent="0.3">
      <c r="A81" s="5">
        <v>43298</v>
      </c>
      <c r="B81">
        <v>48</v>
      </c>
    </row>
    <row r="82" spans="1:2" x14ac:dyDescent="0.3">
      <c r="A82" s="5">
        <v>43299</v>
      </c>
      <c r="B82">
        <v>41</v>
      </c>
    </row>
    <row r="83" spans="1:2" x14ac:dyDescent="0.3">
      <c r="A83" s="5">
        <v>43300</v>
      </c>
      <c r="B83">
        <v>44</v>
      </c>
    </row>
    <row r="84" spans="1:2" x14ac:dyDescent="0.3">
      <c r="A84" s="5">
        <v>43301</v>
      </c>
      <c r="B84">
        <v>34</v>
      </c>
    </row>
    <row r="85" spans="1:2" x14ac:dyDescent="0.3">
      <c r="A85" s="5">
        <v>43302</v>
      </c>
      <c r="B85">
        <v>47</v>
      </c>
    </row>
    <row r="86" spans="1:2" x14ac:dyDescent="0.3">
      <c r="A86" s="5">
        <v>43303</v>
      </c>
      <c r="B86">
        <v>38</v>
      </c>
    </row>
    <row r="87" spans="1:2" x14ac:dyDescent="0.3">
      <c r="A87" s="5">
        <v>43304</v>
      </c>
      <c r="B87">
        <v>39</v>
      </c>
    </row>
    <row r="88" spans="1:2" x14ac:dyDescent="0.3">
      <c r="A88" s="5">
        <v>43305</v>
      </c>
      <c r="B88">
        <v>46</v>
      </c>
    </row>
    <row r="89" spans="1:2" x14ac:dyDescent="0.3">
      <c r="A89" s="5">
        <v>43306</v>
      </c>
      <c r="B89">
        <v>49</v>
      </c>
    </row>
    <row r="90" spans="1:2" x14ac:dyDescent="0.3">
      <c r="A90" s="5">
        <v>43307</v>
      </c>
      <c r="B90">
        <v>47</v>
      </c>
    </row>
    <row r="91" spans="1:2" x14ac:dyDescent="0.3">
      <c r="A91" s="5">
        <v>43308</v>
      </c>
      <c r="B91">
        <v>52</v>
      </c>
    </row>
    <row r="92" spans="1:2" x14ac:dyDescent="0.3">
      <c r="A92" s="5">
        <v>43309</v>
      </c>
      <c r="B92">
        <v>37</v>
      </c>
    </row>
    <row r="93" spans="1:2" x14ac:dyDescent="0.3">
      <c r="A93" s="5">
        <v>43310</v>
      </c>
      <c r="B93">
        <v>42</v>
      </c>
    </row>
    <row r="94" spans="1:2" x14ac:dyDescent="0.3">
      <c r="A94" s="5">
        <v>43311</v>
      </c>
      <c r="B94">
        <v>28</v>
      </c>
    </row>
    <row r="95" spans="1:2" x14ac:dyDescent="0.3">
      <c r="A95" s="5">
        <v>43312</v>
      </c>
      <c r="B95">
        <v>25</v>
      </c>
    </row>
    <row r="96" spans="1:2" x14ac:dyDescent="0.3">
      <c r="A96" s="5" t="s">
        <v>1345</v>
      </c>
      <c r="B96">
        <v>1300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0880-4C08-4374-B5FE-A0FD449551B3}">
  <dimension ref="A1:A3"/>
  <sheetViews>
    <sheetView showGridLines="0" tabSelected="1" zoomScale="70" zoomScaleNormal="70" workbookViewId="0">
      <selection activeCell="X7" sqref="X7"/>
    </sheetView>
  </sheetViews>
  <sheetFormatPr defaultRowHeight="14.4" x14ac:dyDescent="0.3"/>
  <sheetData>
    <row r="1" customFormat="1" x14ac:dyDescent="0.3"/>
    <row r="2" customFormat="1" x14ac:dyDescent="0.3"/>
    <row r="3" customFormat="1"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C8E6EB-F722-449F-8F62-310B2ABCFC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MHASKE</dc:creator>
  <cp:lastModifiedBy>SHUBHAM MHASKE</cp:lastModifiedBy>
  <dcterms:created xsi:type="dcterms:W3CDTF">2026-01-04T07:27:42Z</dcterms:created>
  <dcterms:modified xsi:type="dcterms:W3CDTF">2026-01-12T12:25:09Z</dcterms:modified>
</cp:coreProperties>
</file>